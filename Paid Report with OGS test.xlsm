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285" yWindow="0" windowWidth="17835" windowHeight="11190" tabRatio="859"/>
  </bookViews>
  <sheets>
    <sheet name="Provider" sheetId="1" r:id="rId1"/>
    <sheet name="EPN PPN Provider" sheetId="8" r:id="rId2"/>
    <sheet name="RAM" sheetId="2" r:id="rId3"/>
    <sheet name="Lock Box" sheetId="4" state="hidden" r:id="rId4"/>
    <sheet name="BC IL" sheetId="5" r:id="rId5"/>
    <sheet name="Pre Paid Clients" sheetId="17" r:id="rId6"/>
    <sheet name="DM PPN" sheetId="7" r:id="rId7"/>
    <sheet name="Global RAM List" sheetId="11" state="hidden" r:id="rId8"/>
    <sheet name="CB Sheet" sheetId="9" state="hidden" r:id="rId9"/>
    <sheet name="TINS" sheetId="10" state="hidden" r:id="rId10"/>
    <sheet name="Formulas" sheetId="13" state="hidden" r:id="rId11"/>
    <sheet name="OGS Provider" sheetId="16" r:id="rId12"/>
  </sheets>
  <definedNames>
    <definedName name="_xlnm._FilterDatabase" localSheetId="4" hidden="1">'BC IL'!$A$1:$J$1</definedName>
    <definedName name="_xlnm._FilterDatabase" localSheetId="6" hidden="1">'DM PPN'!$A$1:$R$1</definedName>
    <definedName name="_xlnm._FilterDatabase" localSheetId="1" hidden="1">'EPN PPN Provider'!$A$1:$K$1</definedName>
    <definedName name="_xlnm._FilterDatabase" localSheetId="5" hidden="1">'Pre Paid Clients'!$A$1:$I$1</definedName>
    <definedName name="_xlnm._FilterDatabase" localSheetId="0" hidden="1">Provider!$A$1:$I$1</definedName>
    <definedName name="_xlnm._FilterDatabase" localSheetId="2" hidden="1">RAM!$C$1:$AG$1</definedName>
    <definedName name="_xlnm._FilterDatabase" localSheetId="9" hidden="1">TINS!$A$1:$E$15051</definedName>
  </definedNames>
  <calcPr calcId="162913"/>
  <pivotCaches>
    <pivotCache cacheId="4" r:id="rId13"/>
  </pivotCaches>
</workbook>
</file>

<file path=xl/calcChain.xml><?xml version="1.0" encoding="utf-8"?>
<calcChain xmlns="http://schemas.openxmlformats.org/spreadsheetml/2006/main">
  <c r="J4" i="9" l="1"/>
  <c r="J34" i="9" l="1"/>
  <c r="J30" i="9"/>
  <c r="J22" i="9"/>
  <c r="J18" i="9"/>
  <c r="J14" i="9"/>
  <c r="J10" i="9"/>
  <c r="J7" i="9"/>
  <c r="J37" i="9"/>
  <c r="J33" i="9"/>
  <c r="J29" i="9"/>
  <c r="J25" i="9"/>
  <c r="J21" i="9"/>
  <c r="J17" i="9"/>
  <c r="J13" i="9"/>
  <c r="J6" i="9"/>
  <c r="J3" i="9"/>
  <c r="J26" i="9"/>
  <c r="J36" i="9"/>
  <c r="J32" i="9"/>
  <c r="J28" i="9"/>
  <c r="J24" i="9"/>
  <c r="J20" i="9"/>
  <c r="J16" i="9"/>
  <c r="J12" i="9"/>
  <c r="J9" i="9"/>
  <c r="J5" i="9"/>
  <c r="J35" i="9"/>
  <c r="J31" i="9"/>
  <c r="J27" i="9"/>
  <c r="J23" i="9"/>
  <c r="J19" i="9"/>
  <c r="J15" i="9"/>
  <c r="J11" i="9"/>
  <c r="J8" i="9"/>
  <c r="B7" i="9"/>
  <c r="I21" i="9" l="1"/>
  <c r="E21" i="9"/>
  <c r="F21" i="9"/>
  <c r="I33" i="9" l="1"/>
  <c r="E33" i="9"/>
  <c r="F33" i="9"/>
  <c r="I24" i="9" l="1"/>
  <c r="E24" i="9"/>
  <c r="F24" i="9"/>
  <c r="I15" i="9"/>
  <c r="E15" i="9"/>
  <c r="F15" i="9"/>
  <c r="B6" i="9"/>
  <c r="B5" i="9" l="1"/>
  <c r="I14" i="9" l="1"/>
  <c r="E14" i="9"/>
  <c r="F14" i="9"/>
  <c r="I37" i="9" l="1"/>
  <c r="E37" i="9"/>
  <c r="F37" i="9"/>
  <c r="I17" i="9"/>
  <c r="E17" i="9"/>
  <c r="F17" i="9"/>
  <c r="I4" i="9" l="1"/>
  <c r="I5" i="9"/>
  <c r="I6" i="9"/>
  <c r="I7" i="9"/>
  <c r="I8" i="9"/>
  <c r="I9" i="9"/>
  <c r="I10" i="9"/>
  <c r="F4" i="9"/>
  <c r="F5" i="9"/>
  <c r="F6" i="9"/>
  <c r="F7" i="9"/>
  <c r="F8" i="9"/>
  <c r="F9" i="9"/>
  <c r="F10" i="9"/>
  <c r="E4" i="9"/>
  <c r="E5" i="9"/>
  <c r="E6" i="9"/>
  <c r="E7" i="9"/>
  <c r="E8" i="9"/>
  <c r="E9" i="9"/>
  <c r="E10" i="9"/>
  <c r="B2" i="9" l="1"/>
  <c r="K33" i="9" l="1"/>
  <c r="K15" i="9"/>
  <c r="K24" i="9"/>
  <c r="K14" i="9"/>
  <c r="K37" i="9"/>
  <c r="K17" i="9"/>
  <c r="K7" i="9"/>
  <c r="K9" i="9"/>
  <c r="K4" i="9"/>
  <c r="K8" i="9"/>
  <c r="K10" i="9"/>
  <c r="K5" i="9"/>
  <c r="K6" i="9"/>
  <c r="B4" i="9"/>
  <c r="F12" i="9" l="1"/>
  <c r="F13" i="9"/>
  <c r="F16" i="9"/>
  <c r="F18" i="9"/>
  <c r="F19" i="9"/>
  <c r="F22" i="9"/>
  <c r="F23" i="9"/>
  <c r="F25" i="9"/>
  <c r="F26" i="9"/>
  <c r="F27" i="9"/>
  <c r="F28" i="9"/>
  <c r="F29" i="9"/>
  <c r="F31" i="9"/>
  <c r="F32" i="9"/>
  <c r="F34" i="9"/>
  <c r="F35" i="9"/>
  <c r="F36" i="9"/>
  <c r="F3" i="9"/>
  <c r="F2" i="9" s="1"/>
  <c r="F20" i="9" l="1"/>
  <c r="F30" i="9"/>
  <c r="F11" i="9"/>
  <c r="F38" i="9" l="1"/>
  <c r="I36" i="9"/>
  <c r="E36" i="9"/>
  <c r="K36" i="9" l="1"/>
  <c r="I35" i="9" l="1"/>
  <c r="I34" i="9"/>
  <c r="I32" i="9"/>
  <c r="I31" i="9"/>
  <c r="I29" i="9"/>
  <c r="I28" i="9"/>
  <c r="I27" i="9"/>
  <c r="I26" i="9"/>
  <c r="I25" i="9"/>
  <c r="I23" i="9"/>
  <c r="I22" i="9"/>
  <c r="I19" i="9"/>
  <c r="I18" i="9"/>
  <c r="I16" i="9"/>
  <c r="I13" i="9"/>
  <c r="I12" i="9"/>
  <c r="J2" i="9"/>
  <c r="I3" i="9"/>
  <c r="I2" i="9" s="1"/>
  <c r="I20" i="9" l="1"/>
  <c r="I30" i="9"/>
  <c r="K21" i="9"/>
  <c r="I11" i="9"/>
  <c r="K12" i="9"/>
  <c r="E12" i="9"/>
  <c r="E13" i="9"/>
  <c r="E16" i="9"/>
  <c r="E18" i="9"/>
  <c r="E19" i="9"/>
  <c r="E22" i="9"/>
  <c r="E23" i="9"/>
  <c r="E25" i="9"/>
  <c r="E26" i="9"/>
  <c r="E27" i="9"/>
  <c r="E28" i="9"/>
  <c r="E29" i="9"/>
  <c r="E31" i="9"/>
  <c r="E32" i="9"/>
  <c r="E34" i="9"/>
  <c r="E35" i="9"/>
  <c r="E3" i="9"/>
  <c r="E2" i="9" s="1"/>
  <c r="B3" i="9"/>
  <c r="E20" i="9" l="1"/>
  <c r="I38" i="9"/>
  <c r="E11" i="9"/>
  <c r="E30" i="9"/>
  <c r="K11" i="9"/>
  <c r="E38" i="9" l="1"/>
  <c r="K23" i="9"/>
  <c r="K16" i="9"/>
  <c r="K32" i="9"/>
  <c r="K27" i="9"/>
  <c r="J38" i="9"/>
  <c r="K31" i="9"/>
  <c r="K35" i="9"/>
  <c r="K26" i="9"/>
  <c r="K22" i="9"/>
  <c r="K34" i="9"/>
  <c r="K29" i="9"/>
  <c r="K25" i="9"/>
  <c r="K19" i="9"/>
  <c r="K13" i="9"/>
  <c r="K28" i="9"/>
  <c r="K18" i="9"/>
  <c r="K30" i="9" l="1"/>
  <c r="K20" i="9"/>
  <c r="K3" i="9"/>
  <c r="K38" i="9" l="1"/>
  <c r="K2" i="9"/>
</calcChain>
</file>

<file path=xl/sharedStrings.xml><?xml version="1.0" encoding="utf-8"?>
<sst xmlns="http://schemas.openxmlformats.org/spreadsheetml/2006/main" count="231" uniqueCount="120">
  <si>
    <t>Eastern PA 1</t>
  </si>
  <si>
    <t>Wisconsin</t>
  </si>
  <si>
    <t>Houston 2</t>
  </si>
  <si>
    <t>North Florida</t>
  </si>
  <si>
    <t>New Jersey</t>
  </si>
  <si>
    <t>NYC Metro</t>
  </si>
  <si>
    <t>Northern Minnesota</t>
  </si>
  <si>
    <t>Georgia</t>
  </si>
  <si>
    <t>Connecticut</t>
  </si>
  <si>
    <t>Northwest</t>
  </si>
  <si>
    <t>Michigan</t>
  </si>
  <si>
    <t>Cincinnati</t>
  </si>
  <si>
    <t>TN/KY 1</t>
  </si>
  <si>
    <t>North Carolina</t>
  </si>
  <si>
    <t>Great Plaines</t>
  </si>
  <si>
    <t>Grand Total</t>
  </si>
  <si>
    <t>Central</t>
  </si>
  <si>
    <t>South</t>
  </si>
  <si>
    <t>Fort Worth</t>
  </si>
  <si>
    <t>East</t>
  </si>
  <si>
    <t>West</t>
  </si>
  <si>
    <t>AZ/SoCal</t>
  </si>
  <si>
    <t>Central California</t>
  </si>
  <si>
    <t>NV/SoCal</t>
  </si>
  <si>
    <t>BC IL</t>
  </si>
  <si>
    <t>PrePaid Clients</t>
  </si>
  <si>
    <t>Gross</t>
  </si>
  <si>
    <t>EPN PPN</t>
  </si>
  <si>
    <t>DM PPN</t>
  </si>
  <si>
    <t>Paid</t>
  </si>
  <si>
    <t>Division Div Name</t>
  </si>
  <si>
    <t>Territory DESC</t>
  </si>
  <si>
    <t>CBO CBO Name</t>
  </si>
  <si>
    <t>CBO CBO Code</t>
  </si>
  <si>
    <t>CBO CBO State</t>
  </si>
  <si>
    <t>Provider ProvCode</t>
  </si>
  <si>
    <t>Provider ProvName</t>
  </si>
  <si>
    <t>Net Payment Amt</t>
  </si>
  <si>
    <t>Transitional Claim Count</t>
  </si>
  <si>
    <t>Provider State ID</t>
  </si>
  <si>
    <t>Provider Tax Id ID</t>
  </si>
  <si>
    <t>Territory</t>
  </si>
  <si>
    <t>Commission To Auditor Code</t>
  </si>
  <si>
    <t>Written by Auditor Code</t>
  </si>
  <si>
    <t>Rocky Mountain</t>
  </si>
  <si>
    <t>Total</t>
  </si>
  <si>
    <t>Indiana</t>
  </si>
  <si>
    <t>OK</t>
  </si>
  <si>
    <t>Columbus</t>
  </si>
  <si>
    <t>Minniowa</t>
  </si>
  <si>
    <t>Northern New England</t>
  </si>
  <si>
    <t>White Water</t>
  </si>
  <si>
    <t>Eastern PA 2</t>
  </si>
  <si>
    <t>Northern California</t>
  </si>
  <si>
    <t>Maryland/DC</t>
  </si>
  <si>
    <t>Virginia</t>
  </si>
  <si>
    <t>Central Texas</t>
  </si>
  <si>
    <t>Southcentral</t>
  </si>
  <si>
    <t>Houston 1</t>
  </si>
  <si>
    <t>Safari Name</t>
  </si>
  <si>
    <t>Auditor ID</t>
  </si>
  <si>
    <t>Global RAM</t>
  </si>
  <si>
    <t>YES</t>
  </si>
  <si>
    <t>MAYO HEALTH</t>
  </si>
  <si>
    <t>DIGNITY HEALTH-SACRAMENTO</t>
  </si>
  <si>
    <t>UT SOUTHWESTERN UNIVERSITY HOSPITALS</t>
  </si>
  <si>
    <t>ST. PETER'S HEALTH PARTNERS</t>
  </si>
  <si>
    <t>DIGNITY HEALTH-PHOENIX</t>
  </si>
  <si>
    <t>MAYO CLINIC HEALTH SYSTEM-EAU CLAIRE</t>
  </si>
  <si>
    <t>ADVOCATE HEALTHCARE SRCO</t>
  </si>
  <si>
    <t>PRESENCE HEALTH-MEDITECH</t>
  </si>
  <si>
    <t>ERLANGER HEALTH SYSTEM</t>
  </si>
  <si>
    <t>NORTHWESTERN MEDICINE</t>
  </si>
  <si>
    <t>Row Labels</t>
  </si>
  <si>
    <t>Column Labels</t>
  </si>
  <si>
    <t>Sum of Net Payment Amt</t>
  </si>
  <si>
    <t xml:space="preserve"> </t>
  </si>
  <si>
    <t>IFERROR(VLOOKUP($E:$E,TINS!$A:$C,3,0),VLOOKUP($D:$D,TINS!$B:$C,2,0))</t>
  </si>
  <si>
    <t>Sheet</t>
  </si>
  <si>
    <t>Formula</t>
  </si>
  <si>
    <t>Cell</t>
  </si>
  <si>
    <t>A2</t>
  </si>
  <si>
    <t>IFERROR(VLOOKUP(M:M,'Global RAM List'!A:C,3,0),"NO")</t>
  </si>
  <si>
    <t>RAM</t>
  </si>
  <si>
    <t>Q2</t>
  </si>
  <si>
    <t>R2</t>
  </si>
  <si>
    <t>IF(ISNUMBER(SEARCH("IJ",K:K)),"EPN",IF(ISNUMBER(SEARCH("PPN",K:K)),"EPN",IF(ISNUMBER(SEARCH("EPN",K:K)),"EPN","CB")))</t>
  </si>
  <si>
    <t>J1</t>
  </si>
  <si>
    <t>H1-(VLOOKUP(F:F,'Pre Paid Clients'!F:H,3,0))</t>
  </si>
  <si>
    <t>Provider</t>
  </si>
  <si>
    <t>CBO Name</t>
  </si>
  <si>
    <t>CBO Code</t>
  </si>
  <si>
    <t>CBO State</t>
  </si>
  <si>
    <t>Provider Code</t>
  </si>
  <si>
    <t>Provider Name</t>
  </si>
  <si>
    <t>Division</t>
  </si>
  <si>
    <t>Contract</t>
  </si>
  <si>
    <t>Contract Code</t>
  </si>
  <si>
    <t>Written by Full Name</t>
  </si>
  <si>
    <t>Claim Id</t>
  </si>
  <si>
    <t>Commission To Full Name</t>
  </si>
  <si>
    <t>Provider State</t>
  </si>
  <si>
    <t>Provider Tax ID</t>
  </si>
  <si>
    <t>Insurer</t>
  </si>
  <si>
    <t>Insurer Code</t>
  </si>
  <si>
    <t>Provider AR Status</t>
  </si>
  <si>
    <t>Provider Paid Date</t>
  </si>
  <si>
    <t>Safari Load Date (Recovery Identified Date)</t>
  </si>
  <si>
    <t>Age - Recovery to Prov Paid</t>
  </si>
  <si>
    <t>Payment Type</t>
  </si>
  <si>
    <t>Claim ID</t>
  </si>
  <si>
    <t>Ins Claim ID</t>
  </si>
  <si>
    <t>Adj Payment Amount</t>
  </si>
  <si>
    <t>Sub Lob</t>
  </si>
  <si>
    <t>OHIOHEALTH SYSTEM</t>
  </si>
  <si>
    <t>EPN</t>
  </si>
  <si>
    <t>STD</t>
  </si>
  <si>
    <t>smith, john</t>
  </si>
  <si>
    <t>poter, harry</t>
  </si>
  <si>
    <t>Big Ol' Cattle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</si>
</sst>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/>
    <xf numFmtId="0" fontId="16" fillId="0" borderId="10" xfId="0" applyFont="1" applyBorder="1"/>
    <xf numFmtId="0" fontId="18" fillId="0" borderId="10" xfId="0" applyFont="1" applyBorder="1"/>
    <xf numFmtId="0" fontId="0" fillId="0" borderId="0" xfId="0"/>
    <xf numFmtId="0" fontId="0" fillId="0" borderId="0" xfId="0" applyFont="1"/>
    <xf numFmtId="8" fontId="0" fillId="0" borderId="0" xfId="0" applyNumberFormat="1"/>
    <xf numFmtId="0" fontId="19" fillId="33" borderId="10" xfId="0" applyFont="1" applyFill="1" applyBorder="1" applyAlignment="1">
      <alignment horizontal="left" vertical="center"/>
    </xf>
    <xf numFmtId="0" fontId="19" fillId="33" borderId="10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20" fillId="0" borderId="10" xfId="0" applyFont="1" applyBorder="1" applyAlignment="1">
      <alignment horizontal="center" vertical="center"/>
    </xf>
    <xf numFmtId="0" fontId="0" fillId="0" borderId="0" xfId="0" pivotButton="1"/>
    <xf numFmtId="8" fontId="0" fillId="0" borderId="0" xfId="0" pivotButton="1" applyNumberFormat="1"/>
    <xf numFmtId="40" fontId="16" fillId="0" borderId="10" xfId="0" applyNumberFormat="1" applyFont="1" applyBorder="1"/>
    <xf numFmtId="8" fontId="18" fillId="0" borderId="10" xfId="0" applyNumberFormat="1" applyFont="1" applyBorder="1"/>
    <xf numFmtId="8" fontId="16" fillId="0" borderId="10" xfId="0" applyNumberFormat="1" applyFont="1" applyBorder="1"/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2" formatCode="&quot;$&quot;#,##0.00_);[Red]\(&quot;$&quot;#,##0.00\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8</xdr:row>
      <xdr:rowOff>0</xdr:rowOff>
    </xdr:from>
    <xdr:to>
      <xdr:col>8</xdr:col>
      <xdr:colOff>123264</xdr:colOff>
      <xdr:row>15</xdr:row>
      <xdr:rowOff>134471</xdr:rowOff>
    </xdr:to>
    <xdr:sp macro="[0]!Paid_Report_Final" textlink="">
      <xdr:nvSpPr>
        <xdr:cNvPr id="2" name="TextBox 1"/>
        <xdr:cNvSpPr txBox="1"/>
      </xdr:nvSpPr>
      <xdr:spPr>
        <a:xfrm>
          <a:off x="5546912" y="1714500"/>
          <a:ext cx="3664323" cy="1467971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>
              <a:solidFill>
                <a:schemeClr val="bg1"/>
              </a:solidFill>
            </a:rPr>
            <a:t>CLICK TO CREATE</a:t>
          </a:r>
          <a:r>
            <a:rPr lang="en-US" sz="4000" baseline="0">
              <a:solidFill>
                <a:schemeClr val="bg1"/>
              </a:solidFill>
            </a:rPr>
            <a:t> REPORT</a:t>
          </a:r>
          <a:endParaRPr lang="en-US" sz="4000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ny Curtis" refreshedDate="43104.498142245371" createdVersion="4" refreshedVersion="4" minRefreshableVersion="3" recordCount="290">
  <cacheSource type="worksheet">
    <worksheetSource ref="A1:R291" sheet="OGS RAM"/>
  </cacheSource>
  <cacheFields count="18">
    <cacheField name="Division" numFmtId="0">
      <sharedItems count="4">
        <s v="West"/>
        <s v="Central"/>
        <s v="South"/>
        <s v="East"/>
      </sharedItems>
    </cacheField>
    <cacheField name="Territory" numFmtId="0">
      <sharedItems count="8">
        <s v="White Water"/>
        <s v="Cincinnati"/>
        <s v="TN/KY 1"/>
        <s v="NV/SoCal"/>
        <s v="Northern Minnesota"/>
        <s v="Southcentral"/>
        <s v="Connecticut"/>
        <s v="Fort Worth"/>
      </sharedItems>
    </cacheField>
    <cacheField name="CBO Name" numFmtId="0">
      <sharedItems count="11">
        <s v="MAYO HEALTH"/>
        <s v="ADVOCATE HEALTHCARE SRCO"/>
        <s v="ERLANGER HEALTH SYSTEM"/>
        <s v="DIGNITY HEALTH-PHOENIX"/>
        <s v="DIGNITY HEALTH-SACRAMENTO"/>
        <s v="PRESENCE HEALTH-MEDITECH"/>
        <s v="MAYO CLINIC HEALTH SYSTEM-EAU CLAIRE"/>
        <s v="OHIOHEALTH SYSTEM"/>
        <s v="ST. PETER'S HEALTH PARTNERS"/>
        <s v="UT SOUTHWESTERN UNIVERSITY HOSPITALS"/>
        <s v="NORTHWESTERN MEDICINE"/>
      </sharedItems>
    </cacheField>
    <cacheField name="CBO Code" numFmtId="0">
      <sharedItems containsSemiMixedTypes="0" containsString="0" containsNumber="1" containsInteger="1" minValue="13378" maxValue="40575"/>
    </cacheField>
    <cacheField name="CBO State" numFmtId="0">
      <sharedItems/>
    </cacheField>
    <cacheField name="Provider Code" numFmtId="0">
      <sharedItems containsSemiMixedTypes="0" containsString="0" containsNumber="1" containsInteger="1" minValue="10084" maxValue="95823"/>
    </cacheField>
    <cacheField name="Provider Name" numFmtId="0">
      <sharedItems/>
    </cacheField>
    <cacheField name="Written by Full Name" numFmtId="0">
      <sharedItems/>
    </cacheField>
    <cacheField name="Written by Auditor Code" numFmtId="0">
      <sharedItems/>
    </cacheField>
    <cacheField name="Claim Id" numFmtId="0">
      <sharedItems/>
    </cacheField>
    <cacheField name="Contract" numFmtId="0">
      <sharedItems/>
    </cacheField>
    <cacheField name="Contract Code" numFmtId="0">
      <sharedItems containsSemiMixedTypes="0" containsString="0" containsNumber="1" containsInteger="1" minValue="111800011" maxValue="400000198"/>
    </cacheField>
    <cacheField name="Commission To Full Name" numFmtId="0">
      <sharedItems/>
    </cacheField>
    <cacheField name="Commission To Auditor Code" numFmtId="0">
      <sharedItems/>
    </cacheField>
    <cacheField name="Net Payment Amt" numFmtId="8">
      <sharedItems containsSemiMixedTypes="0" containsString="0" containsNumber="1" minValue="-76835.86" maxValue="-3.6"/>
    </cacheField>
    <cacheField name="Transitional Claim Count" numFmtId="0">
      <sharedItems containsSemiMixedTypes="0" containsString="0" containsNumber="1" containsInteger="1" minValue="1" maxValue="1"/>
    </cacheField>
    <cacheField name="Global RAM" numFmtId="0">
      <sharedItems count="1">
        <s v="YES"/>
      </sharedItems>
    </cacheField>
    <cacheField name="Sub Lob" numFmtId="0">
      <sharedItems count="2">
        <s v="EPN"/>
        <s v="ST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0">
  <r>
    <x v="0"/>
    <x v="0"/>
    <x v="0"/>
    <n v="14323"/>
    <s v="MN"/>
    <n v="12532"/>
    <s v="MAYO CLINIC-SCOTTSDALE PHYSICIANS"/>
    <s v="Armario, Edelyne"/>
    <s v="EPA01"/>
    <s v="EPA0112234488"/>
    <s v="UnitedHealthcare (IJ-EPN Legacy)"/>
    <n v="400000155"/>
    <s v="Armario, Edelyne"/>
    <s v="EPA01"/>
    <n v="-600.96"/>
    <n v="1"/>
    <x v="0"/>
    <x v="0"/>
  </r>
  <r>
    <x v="0"/>
    <x v="0"/>
    <x v="0"/>
    <n v="14323"/>
    <s v="MN"/>
    <n v="12532"/>
    <s v="MAYO CLINIC-SCOTTSDALE PHYSICIANS"/>
    <s v="Armario, Edelyne"/>
    <s v="EPA01"/>
    <s v="EPA0112235149"/>
    <s v="UnitedHealthcare (IJ-EPN Legacy)"/>
    <n v="400000155"/>
    <s v="Armario, Edelyne"/>
    <s v="EPA01"/>
    <n v="-581.44000000000005"/>
    <n v="1"/>
    <x v="0"/>
    <x v="0"/>
  </r>
  <r>
    <x v="0"/>
    <x v="0"/>
    <x v="0"/>
    <n v="14323"/>
    <s v="MN"/>
    <n v="12532"/>
    <s v="MAYO CLINIC-SCOTTSDALE PHYSICIANS"/>
    <s v="Armario, Edelyne"/>
    <s v="EPA01"/>
    <s v="EPA0112235411"/>
    <s v="UnitedHealthcare (IJ-EPN Legacy)"/>
    <n v="400000155"/>
    <s v="Armario, Edelyne"/>
    <s v="EPA01"/>
    <n v="-861.28"/>
    <n v="1"/>
    <x v="0"/>
    <x v="0"/>
  </r>
  <r>
    <x v="0"/>
    <x v="0"/>
    <x v="0"/>
    <n v="14323"/>
    <s v="MN"/>
    <n v="12532"/>
    <s v="MAYO CLINIC-SCOTTSDALE PHYSICIANS"/>
    <s v="Armario, Edelyne"/>
    <s v="EPA01"/>
    <s v="EPA0112235779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7008"/>
    <s v="UnitedHealthcare (IJ-EPN Legacy)"/>
    <n v="400000155"/>
    <s v="Armario, Edelyne"/>
    <s v="EPA01"/>
    <n v="-697.73"/>
    <n v="1"/>
    <x v="0"/>
    <x v="0"/>
  </r>
  <r>
    <x v="0"/>
    <x v="0"/>
    <x v="0"/>
    <n v="14323"/>
    <s v="MN"/>
    <n v="12532"/>
    <s v="MAYO CLINIC-SCOTTSDALE PHYSICIANS"/>
    <s v="Armario, Edelyne"/>
    <s v="EPA01"/>
    <s v="EPA0112237027"/>
    <s v="UnitedHealthcare (IJ-EPN Legacy)"/>
    <n v="400000155"/>
    <s v="Armario, Edelyne"/>
    <s v="EPA01"/>
    <n v="-720.25"/>
    <n v="1"/>
    <x v="0"/>
    <x v="0"/>
  </r>
  <r>
    <x v="0"/>
    <x v="0"/>
    <x v="0"/>
    <n v="14323"/>
    <s v="MN"/>
    <n v="12532"/>
    <s v="MAYO CLINIC-SCOTTSDALE PHYSICIANS"/>
    <s v="Armario, Edelyne"/>
    <s v="EPA01"/>
    <s v="EPA0112237079"/>
    <s v="UnitedHealthcare (IJ-EPN Legacy)"/>
    <n v="400000155"/>
    <s v="Armario, Edelyne"/>
    <s v="EPA01"/>
    <n v="-689.03"/>
    <n v="1"/>
    <x v="0"/>
    <x v="0"/>
  </r>
  <r>
    <x v="0"/>
    <x v="0"/>
    <x v="0"/>
    <n v="14323"/>
    <s v="MN"/>
    <n v="12532"/>
    <s v="MAYO CLINIC-SCOTTSDALE PHYSICIANS"/>
    <s v="Armario, Edelyne"/>
    <s v="EPA01"/>
    <s v="EPA0112237279"/>
    <s v="UnitedHealthcare (IJ-EPN Legacy)"/>
    <n v="400000155"/>
    <s v="Armario, Edelyne"/>
    <s v="EPA01"/>
    <n v="-581.44000000000005"/>
    <n v="1"/>
    <x v="0"/>
    <x v="0"/>
  </r>
  <r>
    <x v="0"/>
    <x v="0"/>
    <x v="0"/>
    <n v="14323"/>
    <s v="MN"/>
    <n v="12532"/>
    <s v="MAYO CLINIC-SCOTTSDALE PHYSICIANS"/>
    <s v="Armario, Edelyne"/>
    <s v="EPA01"/>
    <s v="EPA0112237294"/>
    <s v="UnitedHealthcare (IJ-EPN Legacy)"/>
    <n v="400000155"/>
    <s v="Armario, Edelyne"/>
    <s v="EPA01"/>
    <n v="-581.44000000000005"/>
    <n v="1"/>
    <x v="0"/>
    <x v="0"/>
  </r>
  <r>
    <x v="0"/>
    <x v="0"/>
    <x v="0"/>
    <n v="14323"/>
    <s v="MN"/>
    <n v="12532"/>
    <s v="MAYO CLINIC-SCOTTSDALE PHYSICIANS"/>
    <s v="Armario, Edelyne"/>
    <s v="EPA01"/>
    <s v="EPA0112237329"/>
    <s v="UnitedHealthcare (IJ-EPN Legacy)"/>
    <n v="400000155"/>
    <s v="Armario, Edelyne"/>
    <s v="EPA01"/>
    <n v="-689.02"/>
    <n v="1"/>
    <x v="0"/>
    <x v="0"/>
  </r>
  <r>
    <x v="0"/>
    <x v="0"/>
    <x v="0"/>
    <n v="14323"/>
    <s v="MN"/>
    <n v="12532"/>
    <s v="MAYO CLINIC-SCOTTSDALE PHYSICIANS"/>
    <s v="Armario, Edelyne"/>
    <s v="EPA01"/>
    <s v="EPA0112237379"/>
    <s v="UnitedHealthcare (IJ-EPN Legacy)"/>
    <n v="400000155"/>
    <s v="Armario, Edelyne"/>
    <s v="EPA01"/>
    <n v="-581.44000000000005"/>
    <n v="1"/>
    <x v="0"/>
    <x v="0"/>
  </r>
  <r>
    <x v="0"/>
    <x v="0"/>
    <x v="0"/>
    <n v="14323"/>
    <s v="MN"/>
    <n v="12532"/>
    <s v="MAYO CLINIC-SCOTTSDALE PHYSICIANS"/>
    <s v="Armario, Edelyne"/>
    <s v="EPA01"/>
    <s v="EPA0112238061"/>
    <s v="UnitedHealthcare (IJ-EPN Legacy)"/>
    <n v="400000155"/>
    <s v="Armario, Edelyne"/>
    <s v="EPA01"/>
    <n v="-680.32"/>
    <n v="1"/>
    <x v="0"/>
    <x v="0"/>
  </r>
  <r>
    <x v="0"/>
    <x v="0"/>
    <x v="0"/>
    <n v="14323"/>
    <s v="MN"/>
    <n v="12532"/>
    <s v="MAYO CLINIC-SCOTTSDALE PHYSICIANS"/>
    <s v="Armario, Edelyne"/>
    <s v="EPA01"/>
    <s v="EPA0112238293"/>
    <s v="UnitedHealthcare (IJ-EPN Legacy)"/>
    <n v="400000155"/>
    <s v="Armario, Edelyne"/>
    <s v="EPA01"/>
    <n v="-584.65"/>
    <n v="1"/>
    <x v="0"/>
    <x v="0"/>
  </r>
  <r>
    <x v="0"/>
    <x v="0"/>
    <x v="0"/>
    <n v="14323"/>
    <s v="MN"/>
    <n v="12532"/>
    <s v="MAYO CLINIC-SCOTTSDALE PHYSICIANS"/>
    <s v="Armario, Edelyne"/>
    <s v="EPA01"/>
    <s v="EPA0112238341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8481"/>
    <s v="UnitedHealthcare (IJ-EPN Legacy)"/>
    <n v="400000155"/>
    <s v="Armario, Edelyne"/>
    <s v="EPA01"/>
    <n v="-494.22"/>
    <n v="1"/>
    <x v="0"/>
    <x v="0"/>
  </r>
  <r>
    <x v="0"/>
    <x v="0"/>
    <x v="0"/>
    <n v="14323"/>
    <s v="MN"/>
    <n v="12532"/>
    <s v="MAYO CLINIC-SCOTTSDALE PHYSICIANS"/>
    <s v="Armario, Edelyne"/>
    <s v="EPA01"/>
    <s v="EPA0112238694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8968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9249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9339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9408"/>
    <s v="UnitedHealthcare (IJ-EPN Legacy)"/>
    <n v="400000155"/>
    <s v="Armario, Edelyne"/>
    <s v="EPA01"/>
    <n v="-465.15"/>
    <n v="1"/>
    <x v="0"/>
    <x v="0"/>
  </r>
  <r>
    <x v="0"/>
    <x v="0"/>
    <x v="0"/>
    <n v="14323"/>
    <s v="MN"/>
    <n v="12532"/>
    <s v="MAYO CLINIC-SCOTTSDALE PHYSICIANS"/>
    <s v="Armario, Edelyne"/>
    <s v="EPA01"/>
    <s v="EPA0112239512"/>
    <s v="UnitedHealthcare (IJ-EPN Legacy)"/>
    <n v="400000155"/>
    <s v="Armario, Edelyne"/>
    <s v="EPA01"/>
    <n v="-503.71"/>
    <n v="1"/>
    <x v="0"/>
    <x v="0"/>
  </r>
  <r>
    <x v="0"/>
    <x v="0"/>
    <x v="0"/>
    <n v="14323"/>
    <s v="MN"/>
    <n v="12532"/>
    <s v="MAYO CLINIC-SCOTTSDALE PHYSICIANS"/>
    <s v="Armario, Edelyne"/>
    <s v="EPA01"/>
    <s v="EPA0112239566"/>
    <s v="UnitedHealthcare (IJ-EPN Legacy)"/>
    <n v="400000155"/>
    <s v="Armario, Edelyne"/>
    <s v="EPA01"/>
    <n v="-503.71"/>
    <n v="1"/>
    <x v="0"/>
    <x v="0"/>
  </r>
  <r>
    <x v="0"/>
    <x v="0"/>
    <x v="0"/>
    <n v="14323"/>
    <s v="MN"/>
    <n v="12532"/>
    <s v="MAYO CLINIC-SCOTTSDALE PHYSICIANS"/>
    <s v="Armario, Edelyne"/>
    <s v="EPA01"/>
    <s v="EPA0112241079"/>
    <s v="UnitedHealthcare (IJ-EPN Legacy)"/>
    <n v="400000155"/>
    <s v="Armario, Edelyne"/>
    <s v="EPA01"/>
    <n v="-900.32"/>
    <n v="1"/>
    <x v="0"/>
    <x v="0"/>
  </r>
  <r>
    <x v="0"/>
    <x v="0"/>
    <x v="0"/>
    <n v="14323"/>
    <s v="MN"/>
    <n v="12532"/>
    <s v="MAYO CLINIC-SCOTTSDALE PHYSICIANS"/>
    <s v="Armario, Edelyne"/>
    <s v="EPA01"/>
    <s v="EPA0112243634"/>
    <s v="UnitedHealthcare (IJ-EPN Legacy)"/>
    <n v="400000155"/>
    <s v="Armario, Edelyne"/>
    <s v="EPA01"/>
    <n v="-581.44000000000005"/>
    <n v="1"/>
    <x v="0"/>
    <x v="0"/>
  </r>
  <r>
    <x v="1"/>
    <x v="1"/>
    <x v="1"/>
    <n v="40337"/>
    <s v="IL"/>
    <n v="26633"/>
    <s v="ADVOCATE CONDELL MEDICAL CENTER"/>
    <s v="Dela cruz, Mary joy"/>
    <s v="MGD02"/>
    <s v="MGD0212235055"/>
    <s v="UnitedHealthcare (IJ-EPN Legacy)"/>
    <n v="400000155"/>
    <s v="Dela cruz, Mary joy"/>
    <s v="MGD02"/>
    <n v="-1278.74"/>
    <n v="1"/>
    <x v="0"/>
    <x v="0"/>
  </r>
  <r>
    <x v="1"/>
    <x v="1"/>
    <x v="1"/>
    <n v="40337"/>
    <s v="IL"/>
    <n v="12942"/>
    <s v="ADVOCATE LUTHERAN GENERAL HOSPITAL"/>
    <s v="Dela cruz, Mary joy"/>
    <s v="MGD02"/>
    <s v="MGD0212245879"/>
    <s v="UnitedHealthcare (IJ-EPN Legacy)"/>
    <n v="400000155"/>
    <s v="Dela cruz, Mary joy"/>
    <s v="MGD02"/>
    <n v="-4757.03"/>
    <n v="1"/>
    <x v="0"/>
    <x v="0"/>
  </r>
  <r>
    <x v="1"/>
    <x v="1"/>
    <x v="1"/>
    <n v="40337"/>
    <s v="IL"/>
    <n v="12942"/>
    <s v="ADVOCATE LUTHERAN GENERAL HOSPITAL"/>
    <s v="Dela cruz, Mary joy"/>
    <s v="MGD02"/>
    <s v="MGD0212247589"/>
    <s v="UnitedHealthcare (IJ-EPN Legacy)"/>
    <n v="400000155"/>
    <s v="Dela cruz, Mary joy"/>
    <s v="MGD02"/>
    <n v="-1107.1500000000001"/>
    <n v="1"/>
    <x v="0"/>
    <x v="0"/>
  </r>
  <r>
    <x v="2"/>
    <x v="2"/>
    <x v="2"/>
    <n v="13823"/>
    <s v="TN"/>
    <n v="37520"/>
    <s v="ERLANGER MEDICAL CENTER"/>
    <s v="Domingo, Angelo"/>
    <s v="AMD11"/>
    <s v="AMD1112255358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59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0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1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2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5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6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68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71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75"/>
    <s v="UnitedHealthcare (IJ-EPN Non-Legacy)"/>
    <n v="400000156"/>
    <s v="Domingo, Angelo"/>
    <s v="AMD11"/>
    <n v="-62"/>
    <n v="1"/>
    <x v="0"/>
    <x v="0"/>
  </r>
  <r>
    <x v="2"/>
    <x v="2"/>
    <x v="2"/>
    <n v="13823"/>
    <s v="TN"/>
    <n v="37520"/>
    <s v="ERLANGER MEDICAL CENTER"/>
    <s v="Domingo, Angelo"/>
    <s v="AMD11"/>
    <s v="AMD1112255381"/>
    <s v="UnitedHealthcare (IJ-EPN Legacy)"/>
    <n v="400000155"/>
    <s v="Domingo, Angelo"/>
    <s v="AMD11"/>
    <n v="-357.96"/>
    <n v="1"/>
    <x v="0"/>
    <x v="0"/>
  </r>
  <r>
    <x v="2"/>
    <x v="2"/>
    <x v="2"/>
    <n v="13823"/>
    <s v="TN"/>
    <n v="37520"/>
    <s v="ERLANGER MEDICAL CENTER"/>
    <s v="Domingo, Angelo"/>
    <s v="AMD11"/>
    <s v="AMD1112260184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189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190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192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195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197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200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205"/>
    <s v="UnitedHealthcare (IJ-EPN Non-Legacy)"/>
    <n v="400000156"/>
    <s v="Domingo, Angelo"/>
    <s v="AMD11"/>
    <n v="-98.59"/>
    <n v="1"/>
    <x v="0"/>
    <x v="0"/>
  </r>
  <r>
    <x v="2"/>
    <x v="2"/>
    <x v="2"/>
    <n v="13823"/>
    <s v="TN"/>
    <n v="37520"/>
    <s v="ERLANGER MEDICAL CENTER"/>
    <s v="Domingo, Angelo"/>
    <s v="AMD11"/>
    <s v="AMD1112260209"/>
    <s v="UnitedHealthcare (IJ-EPN Non-Legacy)"/>
    <n v="400000156"/>
    <s v="Domingo, Angelo"/>
    <s v="AMD11"/>
    <n v="-98.59"/>
    <n v="1"/>
    <x v="0"/>
    <x v="0"/>
  </r>
  <r>
    <x v="0"/>
    <x v="3"/>
    <x v="3"/>
    <n v="14017"/>
    <s v="AZ"/>
    <n v="12592"/>
    <s v="DIGNITY-ST. ROSE DOMINICAN-SIENA"/>
    <s v="Ganelo, Marichelle"/>
    <s v="MGG01"/>
    <s v="MGG0112111365"/>
    <s v="UnitedHealthcare (IJ-EPN Legacy)"/>
    <n v="400000155"/>
    <s v="Ganelo, Marichelle"/>
    <s v="MGG01"/>
    <n v="-445.51"/>
    <n v="1"/>
    <x v="0"/>
    <x v="0"/>
  </r>
  <r>
    <x v="1"/>
    <x v="1"/>
    <x v="1"/>
    <n v="40337"/>
    <s v="IL"/>
    <n v="11763"/>
    <s v="ADVOCATE SHERMAN HOSPITAL"/>
    <s v="Liwanag, Jennifer"/>
    <s v="JAL04"/>
    <s v="JAL0412196363"/>
    <s v="UnitedHealthcare (IJ-EPN Legacy)"/>
    <n v="400000155"/>
    <s v="Liwanag, Jennifer"/>
    <s v="JAL04"/>
    <n v="-353.41"/>
    <n v="1"/>
    <x v="0"/>
    <x v="0"/>
  </r>
  <r>
    <x v="1"/>
    <x v="1"/>
    <x v="1"/>
    <n v="40337"/>
    <s v="IL"/>
    <n v="11763"/>
    <s v="ADVOCATE SHERMAN HOSPITAL"/>
    <s v="Liwanag, Jennifer"/>
    <s v="JAL04"/>
    <s v="JAL0412227716"/>
    <s v="UnitedHealthcare (IJ-EPN Legacy)"/>
    <n v="400000155"/>
    <s v="Liwanag, Jennifer"/>
    <s v="JAL04"/>
    <n v="-704.12"/>
    <n v="1"/>
    <x v="0"/>
    <x v="0"/>
  </r>
  <r>
    <x v="1"/>
    <x v="1"/>
    <x v="1"/>
    <n v="40337"/>
    <s v="IL"/>
    <n v="11763"/>
    <s v="ADVOCATE SHERMAN HOSPITAL"/>
    <s v="Liwanag, Jennifer"/>
    <s v="JAL04"/>
    <s v="JAL0412228031"/>
    <s v="UnitedHealthcare (IJ-EPN Legacy)"/>
    <n v="400000155"/>
    <s v="Liwanag, Jennifer"/>
    <s v="JAL04"/>
    <n v="-31.87"/>
    <n v="1"/>
    <x v="0"/>
    <x v="0"/>
  </r>
  <r>
    <x v="1"/>
    <x v="1"/>
    <x v="1"/>
    <n v="40337"/>
    <s v="IL"/>
    <n v="11581"/>
    <s v="ADVOCATE GOOD SHEPHERD HOSPITAL"/>
    <s v="Llamas, Jerome"/>
    <s v="JZL01"/>
    <s v="JZL0112153987"/>
    <s v="UnitedHealthcare (IJ-EPN Legacy)"/>
    <n v="400000155"/>
    <s v="Llamas, Jerome"/>
    <s v="JZL01"/>
    <n v="-3.6"/>
    <n v="1"/>
    <x v="0"/>
    <x v="0"/>
  </r>
  <r>
    <x v="1"/>
    <x v="1"/>
    <x v="1"/>
    <n v="40337"/>
    <s v="IL"/>
    <n v="26633"/>
    <s v="ADVOCATE CONDELL MEDICAL CENTER"/>
    <s v="Lopez, Princess"/>
    <s v="PTL02"/>
    <s v="PTL0212239410"/>
    <s v="UnitedHealthcare (IJ-EPN Legacy)"/>
    <n v="400000155"/>
    <s v="Lopez, Princess"/>
    <s v="PTL02"/>
    <n v="-1231.96"/>
    <n v="1"/>
    <x v="0"/>
    <x v="0"/>
  </r>
  <r>
    <x v="1"/>
    <x v="1"/>
    <x v="1"/>
    <n v="40337"/>
    <s v="IL"/>
    <n v="26633"/>
    <s v="ADVOCATE CONDELL MEDICAL CENTER"/>
    <s v="Lopez, Princess"/>
    <s v="PTL02"/>
    <s v="PTL0212251072"/>
    <s v="UnitedHealthcare (IJ-EPN Legacy)"/>
    <n v="400000155"/>
    <s v="Lopez, Princess"/>
    <s v="PTL02"/>
    <n v="-1622.4"/>
    <n v="1"/>
    <x v="0"/>
    <x v="0"/>
  </r>
  <r>
    <x v="0"/>
    <x v="3"/>
    <x v="4"/>
    <n v="40510"/>
    <s v="CA"/>
    <n v="95823"/>
    <s v="DIGNITY-MERCY GENERAL HOSPITAL"/>
    <s v="Mancia, John"/>
    <s v="JRM02"/>
    <s v="JRM0212255704"/>
    <s v="UnitedHealthcare (IJ-EPN Legacy)"/>
    <n v="400000155"/>
    <s v="Mancia, John"/>
    <s v="JRM02"/>
    <n v="-153.43"/>
    <n v="1"/>
    <x v="0"/>
    <x v="0"/>
  </r>
  <r>
    <x v="0"/>
    <x v="3"/>
    <x v="4"/>
    <n v="40510"/>
    <s v="CA"/>
    <n v="40511"/>
    <s v="DIGNITY-MERCY MEDICAL CENTER MT. SHASTA"/>
    <s v="Mancia, John"/>
    <s v="JRM02"/>
    <s v="JRM0212255764"/>
    <s v="UnitedHealthcare (IJ-EPN Legacy)"/>
    <n v="400000155"/>
    <s v="Mancia, John"/>
    <s v="JRM02"/>
    <n v="-642.70000000000005"/>
    <n v="1"/>
    <x v="0"/>
    <x v="0"/>
  </r>
  <r>
    <x v="0"/>
    <x v="3"/>
    <x v="3"/>
    <n v="14017"/>
    <s v="AZ"/>
    <n v="78565"/>
    <s v="DIGNITY-ST. JOHN'S REGIONAL MEDICAL CTR"/>
    <s v="Nemi, Jonalyn"/>
    <s v="JSN02"/>
    <s v="JSN0212220658"/>
    <s v="UnitedHealthcare (IJ-EPN Non-Legacy)"/>
    <n v="400000156"/>
    <s v="Nemi, Jonalyn"/>
    <s v="JSN02"/>
    <n v="-4685.96"/>
    <n v="1"/>
    <x v="0"/>
    <x v="0"/>
  </r>
  <r>
    <x v="0"/>
    <x v="3"/>
    <x v="3"/>
    <n v="14017"/>
    <s v="AZ"/>
    <n v="12592"/>
    <s v="DIGNITY-ST. ROSE DOMINICAN-SIENA"/>
    <s v="Nemi, Jonalyn"/>
    <s v="JSN02"/>
    <s v="JSN0212224277"/>
    <s v="UnitedHealthcare (IJ-EPN Legacy)"/>
    <n v="400000155"/>
    <s v="Nemi, Jonalyn"/>
    <s v="JSN02"/>
    <n v="-1928.8"/>
    <n v="1"/>
    <x v="0"/>
    <x v="0"/>
  </r>
  <r>
    <x v="1"/>
    <x v="1"/>
    <x v="1"/>
    <n v="40337"/>
    <s v="IL"/>
    <n v="26633"/>
    <s v="ADVOCATE CONDELL MEDICAL CENTER"/>
    <s v="Obnamia, Rachel"/>
    <s v="RCO01"/>
    <s v="RCO0112239270"/>
    <s v="UnitedHealthcare (IJ-EPN Legacy)"/>
    <n v="400000155"/>
    <s v="Obnamia, Rachel"/>
    <s v="RCO01"/>
    <n v="-427"/>
    <n v="1"/>
    <x v="0"/>
    <x v="0"/>
  </r>
  <r>
    <x v="1"/>
    <x v="1"/>
    <x v="1"/>
    <n v="40337"/>
    <s v="IL"/>
    <n v="26633"/>
    <s v="ADVOCATE CONDELL MEDICAL CENTER"/>
    <s v="Obnamia, Rachel"/>
    <s v="RCO01"/>
    <s v="RCO0112242101"/>
    <s v="UnitedHealthcare (IJ-EPN Legacy)"/>
    <n v="400000155"/>
    <s v="Obnamia, Rachel"/>
    <s v="RCO01"/>
    <n v="-1818.48"/>
    <n v="1"/>
    <x v="0"/>
    <x v="0"/>
  </r>
  <r>
    <x v="1"/>
    <x v="1"/>
    <x v="1"/>
    <n v="40337"/>
    <s v="IL"/>
    <n v="26633"/>
    <s v="ADVOCATE CONDELL MEDICAL CENTER"/>
    <s v="Obnamia, Rachel"/>
    <s v="RCO01"/>
    <s v="RCO0112243761"/>
    <s v="UnitedHealthcare (IJ-EPN Legacy)"/>
    <n v="400000155"/>
    <s v="Obnamia, Rachel"/>
    <s v="RCO01"/>
    <n v="-1818.48"/>
    <n v="1"/>
    <x v="0"/>
    <x v="0"/>
  </r>
  <r>
    <x v="1"/>
    <x v="1"/>
    <x v="1"/>
    <n v="40337"/>
    <s v="IL"/>
    <n v="12942"/>
    <s v="ADVOCATE LUTHERAN GENERAL HOSPITAL"/>
    <s v="Obnamia, Rachel"/>
    <s v="RCO01"/>
    <s v="RCO0112246017"/>
    <s v="UnitedHealthcare (IJ-EPN Legacy)"/>
    <n v="400000155"/>
    <s v="Obnamia, Rachel"/>
    <s v="RCO01"/>
    <n v="-136.62"/>
    <n v="1"/>
    <x v="0"/>
    <x v="0"/>
  </r>
  <r>
    <x v="1"/>
    <x v="1"/>
    <x v="1"/>
    <n v="40337"/>
    <s v="IL"/>
    <n v="11662"/>
    <s v="ADVOCATE SOUTH SUBURBAN HOSPITAL"/>
    <s v="Obnamia, Rachel"/>
    <s v="RCO01"/>
    <s v="RCO0112233592"/>
    <s v="UnitedHealthcare (IJ-EPN Legacy)"/>
    <n v="400000155"/>
    <s v="Obnamia, Rachel"/>
    <s v="RCO01"/>
    <n v="-266.62"/>
    <n v="1"/>
    <x v="0"/>
    <x v="0"/>
  </r>
  <r>
    <x v="1"/>
    <x v="1"/>
    <x v="1"/>
    <n v="40337"/>
    <s v="IL"/>
    <n v="11662"/>
    <s v="ADVOCATE SOUTH SUBURBAN HOSPITAL"/>
    <s v="Obnamia, Rachel"/>
    <s v="RCO01"/>
    <s v="RCO0112250398"/>
    <s v="UnitedHealthcare (IJ-EPN Legacy)"/>
    <n v="400000155"/>
    <s v="Obnamia, Rachel"/>
    <s v="RCO01"/>
    <n v="-1209.3800000000001"/>
    <n v="1"/>
    <x v="0"/>
    <x v="0"/>
  </r>
  <r>
    <x v="0"/>
    <x v="0"/>
    <x v="0"/>
    <n v="14323"/>
    <s v="MN"/>
    <n v="14869"/>
    <s v="MAYO CLINIC-SCOTTSDALE HOSPITAL"/>
    <s v="Parilla, Rannylyn"/>
    <s v="RJP01"/>
    <s v="RJP0112237005"/>
    <s v="UnitedHealthcare (IJ-EPN Legacy)"/>
    <n v="400000155"/>
    <s v="Parilla, Rannylyn"/>
    <s v="RJP01"/>
    <n v="-2095.6799999999998"/>
    <n v="1"/>
    <x v="0"/>
    <x v="0"/>
  </r>
  <r>
    <x v="0"/>
    <x v="0"/>
    <x v="0"/>
    <n v="14323"/>
    <s v="MN"/>
    <n v="12532"/>
    <s v="MAYO CLINIC-SCOTTSDALE PHYSICIANS"/>
    <s v="Parilla, Rannylyn"/>
    <s v="RJP01"/>
    <s v="RJP0112215327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16175"/>
    <s v="UnitedHealthcare (IJ-EPN Legacy)"/>
    <n v="400000155"/>
    <s v="Parilla, Rannylyn"/>
    <s v="RJP01"/>
    <n v="-1162.8800000000001"/>
    <n v="1"/>
    <x v="0"/>
    <x v="0"/>
  </r>
  <r>
    <x v="0"/>
    <x v="0"/>
    <x v="0"/>
    <n v="14323"/>
    <s v="MN"/>
    <n v="12532"/>
    <s v="MAYO CLINIC-SCOTTSDALE PHYSICIANS"/>
    <s v="Parilla, Rannylyn"/>
    <s v="RJP01"/>
    <s v="RJP0112219187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21094"/>
    <s v="UnitedHealthcare (IJ-EPN Legacy)"/>
    <n v="400000155"/>
    <s v="Parilla, Rannylyn"/>
    <s v="RJP01"/>
    <n v="-704.64"/>
    <n v="1"/>
    <x v="0"/>
    <x v="0"/>
  </r>
  <r>
    <x v="0"/>
    <x v="0"/>
    <x v="0"/>
    <n v="14323"/>
    <s v="MN"/>
    <n v="12532"/>
    <s v="MAYO CLINIC-SCOTTSDALE PHYSICIANS"/>
    <s v="Parilla, Rannylyn"/>
    <s v="RJP01"/>
    <s v="RJP0112221531"/>
    <s v="UnitedHealthcare (IJ-EPN Legacy)"/>
    <n v="400000155"/>
    <s v="Parilla, Rannylyn"/>
    <s v="RJP01"/>
    <n v="-244.26"/>
    <n v="1"/>
    <x v="0"/>
    <x v="0"/>
  </r>
  <r>
    <x v="0"/>
    <x v="0"/>
    <x v="0"/>
    <n v="14323"/>
    <s v="MN"/>
    <n v="12532"/>
    <s v="MAYO CLINIC-SCOTTSDALE PHYSICIANS"/>
    <s v="Parilla, Rannylyn"/>
    <s v="RJP01"/>
    <s v="RJP0112226639"/>
    <s v="UnitedHealthcare (IJ-EPN Legacy)"/>
    <n v="400000155"/>
    <s v="Parilla, Rannylyn"/>
    <s v="RJP01"/>
    <n v="-447.74"/>
    <n v="1"/>
    <x v="0"/>
    <x v="0"/>
  </r>
  <r>
    <x v="0"/>
    <x v="0"/>
    <x v="0"/>
    <n v="14323"/>
    <s v="MN"/>
    <n v="12532"/>
    <s v="MAYO CLINIC-SCOTTSDALE PHYSICIANS"/>
    <s v="Parilla, Rannylyn"/>
    <s v="RJP01"/>
    <s v="RJP0112226733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26807"/>
    <s v="UnitedHealthcare (IJ-EPN Legacy)"/>
    <n v="400000155"/>
    <s v="Parilla, Rannylyn"/>
    <s v="RJP01"/>
    <n v="-531.9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34992"/>
    <s v="UnitedHealthcare (IJ-EPN Legacy)"/>
    <n v="400000155"/>
    <s v="Parilla, Rannylyn"/>
    <s v="RJP01"/>
    <n v="-597.05999999999995"/>
    <n v="1"/>
    <x v="0"/>
    <x v="0"/>
  </r>
  <r>
    <x v="0"/>
    <x v="0"/>
    <x v="0"/>
    <n v="14323"/>
    <s v="MN"/>
    <n v="12532"/>
    <s v="MAYO CLINIC-SCOTTSDALE PHYSICIANS"/>
    <s v="Parilla, Rannylyn"/>
    <s v="RJP01"/>
    <s v="RJP0112236998"/>
    <s v="UnitedHealthcare (IJ-EPN Legacy)"/>
    <n v="400000155"/>
    <s v="Parilla, Rannylyn"/>
    <s v="RJP01"/>
    <n v="-279.83999999999997"/>
    <n v="1"/>
    <x v="0"/>
    <x v="0"/>
  </r>
  <r>
    <x v="0"/>
    <x v="0"/>
    <x v="0"/>
    <n v="14323"/>
    <s v="MN"/>
    <n v="12532"/>
    <s v="MAYO CLINIC-SCOTTSDALE PHYSICIANS"/>
    <s v="Parilla, Rannylyn"/>
    <s v="RJP01"/>
    <s v="RJP0112237029"/>
    <s v="UnitedHealthcare (IJ-EPN Legacy)"/>
    <n v="400000155"/>
    <s v="Parilla, Rannylyn"/>
    <s v="RJP01"/>
    <n v="-475.73"/>
    <n v="1"/>
    <x v="0"/>
    <x v="0"/>
  </r>
  <r>
    <x v="0"/>
    <x v="0"/>
    <x v="0"/>
    <n v="14323"/>
    <s v="MN"/>
    <n v="12532"/>
    <s v="MAYO CLINIC-SCOTTSDALE PHYSICIANS"/>
    <s v="Parilla, Rannylyn"/>
    <s v="RJP01"/>
    <s v="RJP0112237095"/>
    <s v="UnitedHealthcare (IJ-EPN Legacy)"/>
    <n v="400000155"/>
    <s v="Parilla, Rannylyn"/>
    <s v="RJP01"/>
    <n v="-844.17"/>
    <n v="1"/>
    <x v="0"/>
    <x v="0"/>
  </r>
  <r>
    <x v="0"/>
    <x v="0"/>
    <x v="0"/>
    <n v="14323"/>
    <s v="MN"/>
    <n v="12532"/>
    <s v="MAYO CLINIC-SCOTTSDALE PHYSICIANS"/>
    <s v="Parilla, Rannylyn"/>
    <s v="RJP01"/>
    <s v="RJP0112237240"/>
    <s v="UnitedHealthcare (IJ-EPN Legacy)"/>
    <n v="400000155"/>
    <s v="Parilla, Rannylyn"/>
    <s v="RJP01"/>
    <n v="-784.95"/>
    <n v="1"/>
    <x v="0"/>
    <x v="0"/>
  </r>
  <r>
    <x v="0"/>
    <x v="0"/>
    <x v="0"/>
    <n v="14323"/>
    <s v="MN"/>
    <n v="12532"/>
    <s v="MAYO CLINIC-SCOTTSDALE PHYSICIANS"/>
    <s v="Parilla, Rannylyn"/>
    <s v="RJP01"/>
    <s v="RJP0112237731"/>
    <s v="UnitedHealthcare (IJ-EPN Legacy)"/>
    <n v="400000155"/>
    <s v="Parilla, Rannylyn"/>
    <s v="RJP01"/>
    <n v="-447.74"/>
    <n v="1"/>
    <x v="0"/>
    <x v="0"/>
  </r>
  <r>
    <x v="0"/>
    <x v="0"/>
    <x v="0"/>
    <n v="14323"/>
    <s v="MN"/>
    <n v="12532"/>
    <s v="MAYO CLINIC-SCOTTSDALE PHYSICIANS"/>
    <s v="Parilla, Rannylyn"/>
    <s v="RJP01"/>
    <s v="RJP0112237757"/>
    <s v="UnitedHealthcare (IJ-EPN Legacy)"/>
    <n v="400000155"/>
    <s v="Parilla, Rannylyn"/>
    <s v="RJP01"/>
    <n v="-600.96"/>
    <n v="1"/>
    <x v="0"/>
    <x v="0"/>
  </r>
  <r>
    <x v="0"/>
    <x v="0"/>
    <x v="0"/>
    <n v="14323"/>
    <s v="MN"/>
    <n v="12532"/>
    <s v="MAYO CLINIC-SCOTTSDALE PHYSICIANS"/>
    <s v="Parilla, Rannylyn"/>
    <s v="RJP01"/>
    <s v="RJP0112237792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38606"/>
    <s v="UnitedHealthcare (IJ-EPN Legacy)"/>
    <n v="400000155"/>
    <s v="Parilla, Rannylyn"/>
    <s v="RJP01"/>
    <n v="-697.73"/>
    <n v="1"/>
    <x v="0"/>
    <x v="0"/>
  </r>
  <r>
    <x v="0"/>
    <x v="0"/>
    <x v="0"/>
    <n v="14323"/>
    <s v="MN"/>
    <n v="12532"/>
    <s v="MAYO CLINIC-SCOTTSDALE PHYSICIANS"/>
    <s v="Parilla, Rannylyn"/>
    <s v="RJP01"/>
    <s v="RJP0112238632"/>
    <s v="UnitedHealthcare (IJ-EPN Legacy)"/>
    <n v="400000155"/>
    <s v="Parilla, Rannylyn"/>
    <s v="RJP01"/>
    <n v="-523.29999999999995"/>
    <n v="1"/>
    <x v="0"/>
    <x v="0"/>
  </r>
  <r>
    <x v="0"/>
    <x v="0"/>
    <x v="0"/>
    <n v="14323"/>
    <s v="MN"/>
    <n v="12532"/>
    <s v="MAYO CLINIC-SCOTTSDALE PHYSICIANS"/>
    <s v="Parilla, Rannylyn"/>
    <s v="RJP01"/>
    <s v="RJP0112235033"/>
    <s v="UnitedHealthcare (IJ-EPN Legacy)"/>
    <n v="400000155"/>
    <s v="Parilla, Rannylyn"/>
    <s v="RJP01"/>
    <n v="-223.87"/>
    <n v="1"/>
    <x v="0"/>
    <x v="0"/>
  </r>
  <r>
    <x v="0"/>
    <x v="0"/>
    <x v="0"/>
    <n v="14323"/>
    <s v="MN"/>
    <n v="12532"/>
    <s v="MAYO CLINIC-SCOTTSDALE PHYSICIANS"/>
    <s v="Parilla, Rannylyn"/>
    <s v="RJP01"/>
    <s v="RJP0112242083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2532"/>
    <s v="MAYO CLINIC-SCOTTSDALE PHYSICIANS"/>
    <s v="Parilla, Rannylyn"/>
    <s v="RJP01"/>
    <s v="RJP0112242161"/>
    <s v="UnitedHealthcare (IJ-EPN Legacy)"/>
    <n v="400000155"/>
    <s v="Parilla, Rannylyn"/>
    <s v="RJP01"/>
    <n v="-581.44000000000005"/>
    <n v="1"/>
    <x v="0"/>
    <x v="0"/>
  </r>
  <r>
    <x v="0"/>
    <x v="0"/>
    <x v="0"/>
    <n v="14323"/>
    <s v="MN"/>
    <n v="13604"/>
    <s v="MAYO CLINIC-FLORIDA PHYSICIANS"/>
    <s v="Pasaraba, Eileen"/>
    <s v="EXP01"/>
    <s v="EXP0112238636"/>
    <s v="UnitedHealthcare (IJ-EPN Legacy)"/>
    <n v="400000155"/>
    <s v="Pasaraba, Eileen"/>
    <s v="EXP01"/>
    <n v="-386.86"/>
    <n v="1"/>
    <x v="0"/>
    <x v="0"/>
  </r>
  <r>
    <x v="0"/>
    <x v="0"/>
    <x v="0"/>
    <n v="14323"/>
    <s v="MN"/>
    <n v="13604"/>
    <s v="MAYO CLINIC-FLORIDA PHYSICIANS"/>
    <s v="Pasaraba, Eileen"/>
    <s v="EXP01"/>
    <s v="EXP0112238648"/>
    <s v="UnitedHealthcare (IJ-EPN Legacy)"/>
    <n v="400000155"/>
    <s v="Pasaraba, Eileen"/>
    <s v="EXP01"/>
    <n v="-522"/>
    <n v="1"/>
    <x v="0"/>
    <x v="0"/>
  </r>
  <r>
    <x v="0"/>
    <x v="0"/>
    <x v="0"/>
    <n v="14323"/>
    <s v="MN"/>
    <n v="13604"/>
    <s v="MAYO CLINIC-FLORIDA PHYSICIANS"/>
    <s v="Pasaraba, Eileen"/>
    <s v="EXP01"/>
    <s v="EXP0112238658"/>
    <s v="UnitedHealthcare (IJ-EPN Legacy)"/>
    <n v="400000155"/>
    <s v="Pasaraba, Eileen"/>
    <s v="EXP01"/>
    <n v="-418.76"/>
    <n v="1"/>
    <x v="0"/>
    <x v="0"/>
  </r>
  <r>
    <x v="0"/>
    <x v="0"/>
    <x v="0"/>
    <n v="14323"/>
    <s v="MN"/>
    <n v="13604"/>
    <s v="MAYO CLINIC-FLORIDA PHYSICIANS"/>
    <s v="Pasaraba, Eileen"/>
    <s v="EXP01"/>
    <s v="EXP0112238673"/>
    <s v="UnitedHealthcare (IJ-EPN Legacy)"/>
    <n v="400000155"/>
    <s v="Pasaraba, Eileen"/>
    <s v="EXP01"/>
    <n v="-334.08"/>
    <n v="1"/>
    <x v="0"/>
    <x v="0"/>
  </r>
  <r>
    <x v="0"/>
    <x v="0"/>
    <x v="0"/>
    <n v="14323"/>
    <s v="MN"/>
    <n v="13604"/>
    <s v="MAYO CLINIC-FLORIDA PHYSICIANS"/>
    <s v="Pasaraba, Eileen"/>
    <s v="EXP01"/>
    <s v="EXP0112238679"/>
    <s v="UnitedHealthcare (IJ-EPN Legacy)"/>
    <n v="400000155"/>
    <s v="Pasaraba, Eileen"/>
    <s v="EXP01"/>
    <n v="-280.14"/>
    <n v="1"/>
    <x v="0"/>
    <x v="0"/>
  </r>
  <r>
    <x v="0"/>
    <x v="0"/>
    <x v="0"/>
    <n v="14323"/>
    <s v="MN"/>
    <n v="13604"/>
    <s v="MAYO CLINIC-FLORIDA PHYSICIANS"/>
    <s v="Pasaraba, Eileen"/>
    <s v="EXP01"/>
    <s v="EXP0112235890"/>
    <s v="UnitedHealthcare (IJ-EPN Legacy)"/>
    <n v="400000155"/>
    <s v="Pasaraba, Eileen"/>
    <s v="EXP01"/>
    <n v="-720.94"/>
    <n v="1"/>
    <x v="0"/>
    <x v="0"/>
  </r>
  <r>
    <x v="0"/>
    <x v="0"/>
    <x v="0"/>
    <n v="14323"/>
    <s v="MN"/>
    <n v="13604"/>
    <s v="MAYO CLINIC-FLORIDA PHYSICIANS"/>
    <s v="Pasaraba, Eileen"/>
    <s v="EXP01"/>
    <s v="EXP0112235923"/>
    <s v="UnitedHealthcare (IJ-EPN Legacy)"/>
    <n v="400000155"/>
    <s v="Pasaraba, Eileen"/>
    <s v="EXP01"/>
    <n v="-55.1"/>
    <n v="1"/>
    <x v="0"/>
    <x v="0"/>
  </r>
  <r>
    <x v="0"/>
    <x v="0"/>
    <x v="0"/>
    <n v="14323"/>
    <s v="MN"/>
    <n v="13604"/>
    <s v="MAYO CLINIC-FLORIDA PHYSICIANS"/>
    <s v="Pasaraba, Eileen"/>
    <s v="EXP01"/>
    <s v="EXP0112235937"/>
    <s v="UnitedHealthcare (IJ-EPN Legacy)"/>
    <n v="400000155"/>
    <s v="Pasaraba, Eileen"/>
    <s v="EXP01"/>
    <n v="-284.77999999999997"/>
    <n v="1"/>
    <x v="0"/>
    <x v="0"/>
  </r>
  <r>
    <x v="0"/>
    <x v="0"/>
    <x v="0"/>
    <n v="14323"/>
    <s v="MN"/>
    <n v="13604"/>
    <s v="MAYO CLINIC-FLORIDA PHYSICIANS"/>
    <s v="Pasaraba, Eileen"/>
    <s v="EXP01"/>
    <s v="EXP0112235913"/>
    <s v="UnitedHealthcare (IJ-EPN Legacy)"/>
    <n v="400000155"/>
    <s v="Pasaraba, Eileen"/>
    <s v="EXP01"/>
    <n v="-238.38"/>
    <n v="1"/>
    <x v="0"/>
    <x v="0"/>
  </r>
  <r>
    <x v="0"/>
    <x v="0"/>
    <x v="0"/>
    <n v="14323"/>
    <s v="MN"/>
    <n v="12531"/>
    <s v="MAYO CLINIC-ROCHESTER PHYSICIANS"/>
    <s v="Rodriguez, Kristoffer"/>
    <s v="KCR01"/>
    <s v="KCR0112245630"/>
    <s v="UnitedHealthcare (IJ-EPN Legacy)"/>
    <n v="400000155"/>
    <s v="Rodriguez, Kristoffer"/>
    <s v="KCR01"/>
    <n v="-1647.97"/>
    <n v="1"/>
    <x v="0"/>
    <x v="0"/>
  </r>
  <r>
    <x v="0"/>
    <x v="0"/>
    <x v="0"/>
    <n v="14323"/>
    <s v="MN"/>
    <n v="10609"/>
    <s v="MAYO CLINIC-ROCHESTER METHODIST HOSPITAL"/>
    <s v="Santos, Hershey"/>
    <s v="HXS02"/>
    <s v="HXS0212253693"/>
    <s v="UnitedHealthcare (IJ-EPN Legacy)"/>
    <n v="400000155"/>
    <s v="Santos, Hershey"/>
    <s v="HXS02"/>
    <n v="-5098.03"/>
    <n v="1"/>
    <x v="0"/>
    <x v="0"/>
  </r>
  <r>
    <x v="1"/>
    <x v="1"/>
    <x v="1"/>
    <n v="40337"/>
    <s v="IL"/>
    <n v="12103"/>
    <s v="ADVOCATE GOOD SAMARITAN HOSPITAL"/>
    <s v="Yecla, Jennifer"/>
    <s v="JBY02"/>
    <s v="JBY0211643437"/>
    <s v="UnitedHealthcare (IJ-EPN Legacy)"/>
    <n v="400000155"/>
    <s v="Yecla, Jennifer"/>
    <s v="JBY02"/>
    <n v="-239"/>
    <n v="1"/>
    <x v="0"/>
    <x v="0"/>
  </r>
  <r>
    <x v="1"/>
    <x v="1"/>
    <x v="1"/>
    <n v="40337"/>
    <s v="IL"/>
    <n v="12103"/>
    <s v="ADVOCATE GOOD SAMARITAN HOSPITAL"/>
    <s v="Yecla, Jennifer"/>
    <s v="JBY02"/>
    <s v="JBY0212224302"/>
    <s v="UnitedHealthcare (IJ-EPN Legacy)"/>
    <n v="400000155"/>
    <s v="Yecla, Jennifer"/>
    <s v="JBY02"/>
    <n v="-549.25"/>
    <n v="1"/>
    <x v="0"/>
    <x v="0"/>
  </r>
  <r>
    <x v="1"/>
    <x v="1"/>
    <x v="1"/>
    <n v="40337"/>
    <s v="IL"/>
    <n v="12103"/>
    <s v="ADVOCATE GOOD SAMARITAN HOSPITAL"/>
    <s v="Yecla, Jennifer"/>
    <s v="JBY02"/>
    <s v="JBY0212239361"/>
    <s v="UnitedHealthcare (IJ-EPN Legacy)"/>
    <n v="400000155"/>
    <s v="Yecla, Jennifer"/>
    <s v="JBY02"/>
    <n v="-48.03"/>
    <n v="1"/>
    <x v="0"/>
    <x v="0"/>
  </r>
  <r>
    <x v="1"/>
    <x v="1"/>
    <x v="1"/>
    <n v="40337"/>
    <s v="IL"/>
    <n v="12103"/>
    <s v="ADVOCATE GOOD SAMARITAN HOSPITAL"/>
    <s v="Yecla, Jennifer"/>
    <s v="JBY02"/>
    <s v="JBY0212249251"/>
    <s v="UnitedHealthcare (IJ-EPN Legacy)"/>
    <n v="400000155"/>
    <s v="Yecla, Jennifer"/>
    <s v="JBY02"/>
    <n v="-962.43"/>
    <n v="1"/>
    <x v="0"/>
    <x v="0"/>
  </r>
  <r>
    <x v="0"/>
    <x v="0"/>
    <x v="0"/>
    <n v="14323"/>
    <s v="MN"/>
    <n v="10609"/>
    <s v="MAYO CLINIC-ROCHESTER METHODIST HOSPITAL"/>
    <s v="Almejere, Sharon"/>
    <s v="SBA01"/>
    <s v="SBA0112242157"/>
    <s v="Preferred One (Primary)"/>
    <n v="201790001"/>
    <s v="Almejere, Sharon"/>
    <s v="SBA01"/>
    <n v="-250.44"/>
    <n v="1"/>
    <x v="0"/>
    <x v="1"/>
  </r>
  <r>
    <x v="0"/>
    <x v="0"/>
    <x v="0"/>
    <n v="14323"/>
    <s v="MN"/>
    <n v="10609"/>
    <s v="MAYO CLINIC-ROCHESTER METHODIST HOSPITAL"/>
    <s v="Almejere, Sharon"/>
    <s v="SBA01"/>
    <s v="SBA0112243708"/>
    <s v="Aetna - Traditional (Primary)"/>
    <n v="113700001"/>
    <s v="Almejere, Sharon"/>
    <s v="SBA01"/>
    <n v="-392.73"/>
    <n v="1"/>
    <x v="0"/>
    <x v="1"/>
  </r>
  <r>
    <x v="0"/>
    <x v="0"/>
    <x v="0"/>
    <n v="14323"/>
    <s v="MN"/>
    <n v="14869"/>
    <s v="MAYO CLINIC-SCOTTSDALE HOSPITAL"/>
    <s v="Armario, Edelyne"/>
    <s v="EPA01"/>
    <s v="EPA0112245429"/>
    <s v="Aetna - Traditional (Primary)"/>
    <n v="113700001"/>
    <s v="Armario, Edelyne"/>
    <s v="EPA01"/>
    <n v="-4256"/>
    <n v="1"/>
    <x v="0"/>
    <x v="1"/>
  </r>
  <r>
    <x v="0"/>
    <x v="3"/>
    <x v="3"/>
    <n v="14017"/>
    <s v="AZ"/>
    <n v="34637"/>
    <s v="DIGNITY-CHANDLER REGIONAL MEDICAL CENTER"/>
    <s v="Cabunyag, Jocelyn"/>
    <s v="JAC05"/>
    <s v="JAC0512148021"/>
    <s v="Kaiser Permanente of California (Northern - Emergency)"/>
    <n v="126640003"/>
    <s v="Cabunyag, Jocelyn"/>
    <s v="JAC05"/>
    <n v="-22199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1578"/>
    <s v="Amerigroup Corporation (Anthem Government Business Cash/Direct Pay)"/>
    <n v="111930030"/>
    <s v="Cabunyag, Jocelyn"/>
    <s v="JAC05"/>
    <n v="-5609.75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1787"/>
    <s v="Anthem FEP (California)"/>
    <n v="210830007"/>
    <s v="Cabunyag, Jocelyn"/>
    <s v="JAC05"/>
    <n v="-319.49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4488"/>
    <s v="Amerigroup Corporation (Anthem Government Business Cash/Direct Pay)"/>
    <n v="111930030"/>
    <s v="Cabunyag, Jocelyn"/>
    <s v="JAC05"/>
    <n v="-1730.95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4696"/>
    <s v="Amerigroup Corporation (Anthem Government Business Cash/Direct Pay)"/>
    <n v="111930030"/>
    <s v="Cabunyag, Jocelyn"/>
    <s v="JAC05"/>
    <n v="-4432.8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7639"/>
    <s v="Amerigroup Corporation (Anthem Government Business Cash/Direct Pay)"/>
    <n v="111930030"/>
    <s v="Cabunyag, Jocelyn"/>
    <s v="JAC05"/>
    <n v="-1301.7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7927"/>
    <s v="Amerigroup Corporation (Anthem Government Business Cash/Direct Pay)"/>
    <n v="111930030"/>
    <s v="Cabunyag, Jocelyn"/>
    <s v="JAC05"/>
    <n v="-415.2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199729"/>
    <s v="Amerigroup Corporation (Anthem Government Business Cash/Direct Pay)"/>
    <n v="111930030"/>
    <s v="Cabunyag, Jocelyn"/>
    <s v="JAC05"/>
    <n v="-1028.56"/>
    <n v="1"/>
    <x v="0"/>
    <x v="1"/>
  </r>
  <r>
    <x v="0"/>
    <x v="3"/>
    <x v="3"/>
    <n v="14017"/>
    <s v="AZ"/>
    <n v="78565"/>
    <s v="DIGNITY-ST. JOHN'S REGIONAL MEDICAL CTR"/>
    <s v="Cabunyag, Jocelyn"/>
    <s v="JAC05"/>
    <s v="JAC0512200994"/>
    <s v="Amerigroup Corporation (Anthem Government Business Cash/Direct Pay)"/>
    <n v="111930030"/>
    <s v="Cabunyag, Jocelyn"/>
    <s v="JAC05"/>
    <n v="-1057.03"/>
    <n v="1"/>
    <x v="0"/>
    <x v="1"/>
  </r>
  <r>
    <x v="0"/>
    <x v="3"/>
    <x v="3"/>
    <n v="14017"/>
    <s v="AZ"/>
    <n v="78577"/>
    <s v="DIGNITY-ST. JOSEPH'S HOSPITAL"/>
    <s v="Cabunyag, Jocelyn"/>
    <s v="JAC05"/>
    <s v="JAC0512179718"/>
    <s v="UnitedHealthcare (COSMOS)"/>
    <n v="400000002"/>
    <s v="Cabunyag, Jocelyn"/>
    <s v="JAC05"/>
    <n v="-1282.8900000000001"/>
    <n v="1"/>
    <x v="0"/>
    <x v="1"/>
  </r>
  <r>
    <x v="0"/>
    <x v="3"/>
    <x v="3"/>
    <n v="14017"/>
    <s v="AZ"/>
    <n v="12591"/>
    <s v="DIGNITY-ST. ROSE DOMINICAN-DELIMA"/>
    <s v="Cabunyag, Jocelyn"/>
    <s v="JAC05"/>
    <s v="JAC0511844087"/>
    <s v="UHC Affiliates (Sierra Health Services Health Plan of Nevada)"/>
    <n v="211930021"/>
    <s v="Cabunyag, Jocelyn"/>
    <s v="JAC05"/>
    <n v="-310.14"/>
    <n v="1"/>
    <x v="0"/>
    <x v="1"/>
  </r>
  <r>
    <x v="0"/>
    <x v="3"/>
    <x v="3"/>
    <n v="14017"/>
    <s v="AZ"/>
    <n v="12591"/>
    <s v="DIGNITY-ST. ROSE DOMINICAN-DELIMA"/>
    <s v="Cabunyag, Jocelyn"/>
    <s v="JAC05"/>
    <s v="JAC0511876570"/>
    <s v="UHC Affiliates (Sierra Health Services Health Plan of Nevada)"/>
    <n v="211930021"/>
    <s v="Cabunyag, Jocelyn"/>
    <s v="JAC05"/>
    <n v="-310.14"/>
    <n v="1"/>
    <x v="0"/>
    <x v="1"/>
  </r>
  <r>
    <x v="0"/>
    <x v="3"/>
    <x v="3"/>
    <n v="14017"/>
    <s v="AZ"/>
    <n v="12591"/>
    <s v="DIGNITY-ST. ROSE DOMINICAN-DELIMA"/>
    <s v="Cabunyag, Jocelyn"/>
    <s v="JAC05"/>
    <s v="JAC0512036602"/>
    <s v="Kaiser Permanente of California (Southern)"/>
    <n v="126640001"/>
    <s v="Cabunyag, Jocelyn"/>
    <s v="JAC05"/>
    <n v="-33600"/>
    <n v="1"/>
    <x v="0"/>
    <x v="1"/>
  </r>
  <r>
    <x v="0"/>
    <x v="3"/>
    <x v="3"/>
    <n v="14017"/>
    <s v="AZ"/>
    <n v="12284"/>
    <s v="DIGNITY-ST. ROSE DOMINICAN-SAN MARTIN"/>
    <s v="Cabunyag, Jocelyn"/>
    <s v="JAC05"/>
    <s v="JAC0511880405"/>
    <s v="UHC Affiliates (Sierra Health Services Health Plan of Nevada)"/>
    <n v="211930021"/>
    <s v="Cabunyag, Jocelyn"/>
    <s v="JAC05"/>
    <n v="-323.58"/>
    <n v="1"/>
    <x v="0"/>
    <x v="1"/>
  </r>
  <r>
    <x v="0"/>
    <x v="3"/>
    <x v="3"/>
    <n v="14017"/>
    <s v="AZ"/>
    <n v="12284"/>
    <s v="DIGNITY-ST. ROSE DOMINICAN-SAN MARTIN"/>
    <s v="Cabunyag, Jocelyn"/>
    <s v="JAC05"/>
    <s v="JAC0512030073"/>
    <s v="UHC Affiliates (Sierra Health Services Health Plan of Nevada)"/>
    <n v="211930021"/>
    <s v="Cabunyag, Jocelyn"/>
    <s v="JAC05"/>
    <n v="-1316"/>
    <n v="1"/>
    <x v="0"/>
    <x v="1"/>
  </r>
  <r>
    <x v="0"/>
    <x v="3"/>
    <x v="3"/>
    <n v="14017"/>
    <s v="AZ"/>
    <n v="12592"/>
    <s v="DIGNITY-ST. ROSE DOMINICAN-SIENA"/>
    <s v="Cabunyag, Jocelyn"/>
    <s v="JAC05"/>
    <s v="JAC0511716434"/>
    <s v="UHC Affiliates (Sierra Health Services Health Plan of Nevada)"/>
    <n v="211930021"/>
    <s v="Cabunyag, Jocelyn"/>
    <s v="JAC05"/>
    <n v="-310.14"/>
    <n v="1"/>
    <x v="0"/>
    <x v="1"/>
  </r>
  <r>
    <x v="0"/>
    <x v="3"/>
    <x v="3"/>
    <n v="14017"/>
    <s v="AZ"/>
    <n v="12592"/>
    <s v="DIGNITY-ST. ROSE DOMINICAN-SIENA"/>
    <s v="Cabunyag, Jocelyn"/>
    <s v="JAC05"/>
    <s v="JAC0511840204"/>
    <s v="UHC Affiliates (Sierra Health Services Health Plan of Nevada)"/>
    <n v="211930021"/>
    <s v="Cabunyag, Jocelyn"/>
    <s v="JAC05"/>
    <n v="-1333.56"/>
    <n v="1"/>
    <x v="0"/>
    <x v="1"/>
  </r>
  <r>
    <x v="0"/>
    <x v="3"/>
    <x v="3"/>
    <n v="14017"/>
    <s v="AZ"/>
    <n v="12592"/>
    <s v="DIGNITY-ST. ROSE DOMINICAN-SIENA"/>
    <s v="Cabunyag, Jocelyn"/>
    <s v="JAC05"/>
    <s v="JAC0511846443"/>
    <s v="Blue Cross Blue Shield of Nevada (Anthem) (Pure Host ITS NV)"/>
    <n v="126840020"/>
    <s v="Cabunyag, Jocelyn"/>
    <s v="JAC05"/>
    <n v="-30879.68"/>
    <n v="1"/>
    <x v="0"/>
    <x v="1"/>
  </r>
  <r>
    <x v="0"/>
    <x v="3"/>
    <x v="3"/>
    <n v="14017"/>
    <s v="AZ"/>
    <n v="12592"/>
    <s v="DIGNITY-ST. ROSE DOMINICAN-SIENA"/>
    <s v="Cabunyag, Jocelyn"/>
    <s v="JAC05"/>
    <s v="JAC0511852724"/>
    <s v="UHC Affiliates (Sierra Health &amp; Life)"/>
    <n v="211930010"/>
    <s v="Cabunyag, Jocelyn"/>
    <s v="JAC05"/>
    <n v="-10292.82"/>
    <n v="1"/>
    <x v="0"/>
    <x v="1"/>
  </r>
  <r>
    <x v="0"/>
    <x v="3"/>
    <x v="3"/>
    <n v="14017"/>
    <s v="AZ"/>
    <n v="12592"/>
    <s v="DIGNITY-ST. ROSE DOMINICAN-SIENA"/>
    <s v="Cabunyag, Jocelyn"/>
    <s v="JAC05"/>
    <s v="JAC0511866710"/>
    <s v="UHC Affiliates (Sierra Health Services Health Plan of Nevada)"/>
    <n v="211930021"/>
    <s v="Cabunyag, Jocelyn"/>
    <s v="JAC05"/>
    <n v="-296.81"/>
    <n v="1"/>
    <x v="0"/>
    <x v="1"/>
  </r>
  <r>
    <x v="0"/>
    <x v="3"/>
    <x v="3"/>
    <n v="14017"/>
    <s v="AZ"/>
    <n v="12592"/>
    <s v="DIGNITY-ST. ROSE DOMINICAN-SIENA"/>
    <s v="Cabunyag, Jocelyn"/>
    <s v="JAC05"/>
    <s v="JAC0512022870"/>
    <s v="UHC Affiliates (Sierra Health Services Health Plan of Nevada)"/>
    <n v="211930021"/>
    <s v="Cabunyag, Jocelyn"/>
    <s v="JAC05"/>
    <n v="-3591"/>
    <n v="1"/>
    <x v="0"/>
    <x v="1"/>
  </r>
  <r>
    <x v="0"/>
    <x v="3"/>
    <x v="3"/>
    <n v="14017"/>
    <s v="AZ"/>
    <n v="12592"/>
    <s v="DIGNITY-ST. ROSE DOMINICAN-SIENA"/>
    <s v="Cabunyag, Jocelyn"/>
    <s v="JAC05"/>
    <s v="JAC0512040740"/>
    <s v="UHC Affiliates (Sierra Health Services Health Plan of Nevada)"/>
    <n v="211930021"/>
    <s v="Cabunyag, Jocelyn"/>
    <s v="JAC05"/>
    <n v="-1325.54"/>
    <n v="1"/>
    <x v="0"/>
    <x v="1"/>
  </r>
  <r>
    <x v="0"/>
    <x v="3"/>
    <x v="3"/>
    <n v="14017"/>
    <s v="AZ"/>
    <n v="12592"/>
    <s v="DIGNITY-ST. ROSE DOMINICAN-SIENA"/>
    <s v="Cabunyag, Jocelyn"/>
    <s v="JAC05"/>
    <s v="JAC0512083907"/>
    <s v="UHC Affiliates (Sierra Health Services Health Plan of Nevada)"/>
    <n v="211930021"/>
    <s v="Cabunyag, Jocelyn"/>
    <s v="JAC05"/>
    <n v="-361.83"/>
    <n v="1"/>
    <x v="0"/>
    <x v="1"/>
  </r>
  <r>
    <x v="0"/>
    <x v="3"/>
    <x v="3"/>
    <n v="14017"/>
    <s v="AZ"/>
    <n v="12592"/>
    <s v="DIGNITY-ST. ROSE DOMINICAN-SIENA"/>
    <s v="Cabunyag, Jocelyn"/>
    <s v="JAC05"/>
    <s v="JAC0512133835"/>
    <s v="UHC Affiliates (Sierra Health Services Health Plan of Nevada)"/>
    <n v="211930021"/>
    <s v="Cabunyag, Jocelyn"/>
    <s v="JAC05"/>
    <n v="-1197"/>
    <n v="1"/>
    <x v="0"/>
    <x v="1"/>
  </r>
  <r>
    <x v="0"/>
    <x v="3"/>
    <x v="3"/>
    <n v="14017"/>
    <s v="AZ"/>
    <n v="12592"/>
    <s v="DIGNITY-ST. ROSE DOMINICAN-SIENA"/>
    <s v="Cabunyag, Jocelyn"/>
    <s v="JAC05"/>
    <s v="JAC0512184305"/>
    <s v="HealthCare Partners LLC (Nevada)"/>
    <n v="211920002"/>
    <s v="Cabunyag, Jocelyn"/>
    <s v="JAC05"/>
    <n v="-76835.86"/>
    <n v="1"/>
    <x v="0"/>
    <x v="1"/>
  </r>
  <r>
    <x v="1"/>
    <x v="1"/>
    <x v="5"/>
    <n v="13585"/>
    <s v="IL"/>
    <n v="13584"/>
    <s v="PH-COVENANT MEDICAL CENTER"/>
    <s v="Calimag, Arlynn"/>
    <s v="ATC01"/>
    <s v="ATC0112134015"/>
    <s v="Coventry (Coventry of Illinois)"/>
    <n v="113170039"/>
    <s v="Calimag, Arlynn"/>
    <s v="ATC01"/>
    <n v="-9874.6299999999992"/>
    <n v="1"/>
    <x v="0"/>
    <x v="1"/>
  </r>
  <r>
    <x v="1"/>
    <x v="1"/>
    <x v="5"/>
    <n v="13585"/>
    <s v="IL"/>
    <n v="10284"/>
    <s v="PH-MERCY MEDICAL CENTER"/>
    <s v="Calimag, Arlynn"/>
    <s v="ATC01"/>
    <s v="ATC0112161960"/>
    <s v="CIGNA HealthCare - PROCLAIM (Primary)"/>
    <n v="144730001"/>
    <s v="Calimag, Arlynn"/>
    <s v="ATC01"/>
    <n v="-2051.66"/>
    <n v="1"/>
    <x v="0"/>
    <x v="1"/>
  </r>
  <r>
    <x v="1"/>
    <x v="1"/>
    <x v="5"/>
    <n v="13585"/>
    <s v="IL"/>
    <n v="11969"/>
    <s v="PH-ST. JOSEPH HOSPITAL - ELGIN"/>
    <s v="Calimag, Arlynn"/>
    <s v="ATC01"/>
    <s v="ATC0112172201"/>
    <s v="Aetna - HMO (US Healthcare)"/>
    <n v="115250007"/>
    <s v="Calimag, Arlynn"/>
    <s v="ATC01"/>
    <n v="-10927.8"/>
    <n v="1"/>
    <x v="0"/>
    <x v="1"/>
  </r>
  <r>
    <x v="1"/>
    <x v="1"/>
    <x v="5"/>
    <n v="13585"/>
    <s v="IL"/>
    <n v="11969"/>
    <s v="PH-ST. JOSEPH HOSPITAL - ELGIN"/>
    <s v="Calimag, Arlynn"/>
    <s v="ATC01"/>
    <s v="ATC0112175321"/>
    <s v="UnitedHealthcare (UNET)"/>
    <n v="400000001"/>
    <s v="Calimag, Arlynn"/>
    <s v="ATC01"/>
    <n v="-1452"/>
    <n v="1"/>
    <x v="0"/>
    <x v="1"/>
  </r>
  <r>
    <x v="1"/>
    <x v="1"/>
    <x v="5"/>
    <n v="13585"/>
    <s v="IL"/>
    <n v="11969"/>
    <s v="PH-ST. JOSEPH HOSPITAL - ELGIN"/>
    <s v="Calimag, Arlynn"/>
    <s v="ATC01"/>
    <s v="ATC0112191218"/>
    <s v="UnitedHealthcare (Secure Horizons - COSMOS)"/>
    <n v="400000097"/>
    <s v="Calimag, Arlynn"/>
    <s v="ATC01"/>
    <n v="-2217.75"/>
    <n v="1"/>
    <x v="0"/>
    <x v="1"/>
  </r>
  <r>
    <x v="1"/>
    <x v="1"/>
    <x v="5"/>
    <n v="13585"/>
    <s v="IL"/>
    <n v="85565"/>
    <s v="PH-ST. JOSEPH MEDICAL CENTER-JOLIET"/>
    <s v="Calimag, Arlynn"/>
    <s v="ATC01"/>
    <s v="ATC0112201466"/>
    <s v="UnitedHealthcare (UNET)"/>
    <n v="400000001"/>
    <s v="Calimag, Arlynn"/>
    <s v="ATC01"/>
    <n v="-1699"/>
    <n v="1"/>
    <x v="0"/>
    <x v="1"/>
  </r>
  <r>
    <x v="1"/>
    <x v="1"/>
    <x v="5"/>
    <n v="13585"/>
    <s v="IL"/>
    <n v="85565"/>
    <s v="PH-ST. JOSEPH MEDICAL CENTER-JOLIET"/>
    <s v="Calimag, Arlynn"/>
    <s v="ATC01"/>
    <s v="ATC0112216043"/>
    <s v="Humana (Louisville)"/>
    <n v="111800022"/>
    <s v="Calimag, Arlynn"/>
    <s v="ATC01"/>
    <n v="-1080.29"/>
    <n v="1"/>
    <x v="0"/>
    <x v="1"/>
  </r>
  <r>
    <x v="1"/>
    <x v="1"/>
    <x v="5"/>
    <n v="13585"/>
    <s v="IL"/>
    <n v="11742"/>
    <s v="PH-ST. MARY'S HOSPITAL"/>
    <s v="Calimag, Arlynn"/>
    <s v="ATC01"/>
    <s v="ATC0112182835"/>
    <s v="Coventry (Coventry of Illinois)"/>
    <n v="113170039"/>
    <s v="Calimag, Arlynn"/>
    <s v="ATC01"/>
    <n v="-4084.77"/>
    <n v="1"/>
    <x v="0"/>
    <x v="1"/>
  </r>
  <r>
    <x v="1"/>
    <x v="1"/>
    <x v="5"/>
    <n v="13585"/>
    <s v="IL"/>
    <n v="11742"/>
    <s v="PH-ST. MARY'S HOSPITAL"/>
    <s v="Calimag, Arlynn"/>
    <s v="ATC01"/>
    <s v="ATC0112184173"/>
    <s v="Coventry (Coventry of Illinois)"/>
    <n v="113170039"/>
    <s v="Calimag, Arlynn"/>
    <s v="ATC01"/>
    <n v="-5081.53"/>
    <n v="1"/>
    <x v="0"/>
    <x v="1"/>
  </r>
  <r>
    <x v="1"/>
    <x v="1"/>
    <x v="5"/>
    <n v="13585"/>
    <s v="IL"/>
    <n v="11742"/>
    <s v="PH-ST. MARY'S HOSPITAL"/>
    <s v="Calimag, Arlynn"/>
    <s v="ATC01"/>
    <s v="ATC0112224788"/>
    <s v="Coventry (Coventry of Illinois)"/>
    <n v="113170039"/>
    <s v="Calimag, Arlynn"/>
    <s v="ATC01"/>
    <n v="-750"/>
    <n v="1"/>
    <x v="0"/>
    <x v="1"/>
  </r>
  <r>
    <x v="1"/>
    <x v="4"/>
    <x v="6"/>
    <n v="14003"/>
    <s v="WI"/>
    <n v="11340"/>
    <s v="MCHS-EAU CLAIRE CLINIC"/>
    <s v="Capistrano, Christian Al"/>
    <s v="CRC03"/>
    <s v="CRC0312210956"/>
    <s v="Humana (Louisville)"/>
    <n v="111800022"/>
    <s v="Capistrano, Christian Al"/>
    <s v="CRC03"/>
    <n v="-55.66"/>
    <n v="1"/>
    <x v="0"/>
    <x v="1"/>
  </r>
  <r>
    <x v="1"/>
    <x v="4"/>
    <x v="6"/>
    <n v="14003"/>
    <s v="WI"/>
    <n v="11340"/>
    <s v="MCHS-EAU CLAIRE CLINIC"/>
    <s v="Capistrano, Christian Al"/>
    <s v="CRC03"/>
    <s v="CRC0312224904"/>
    <s v="Blue Cross Blue Shield of Wisconsin (Anthem) (Pure Host ITS TPL)"/>
    <n v="118870027"/>
    <s v="Capistrano, Christian Al"/>
    <s v="CRC03"/>
    <n v="-135.69999999999999"/>
    <n v="1"/>
    <x v="0"/>
    <x v="1"/>
  </r>
  <r>
    <x v="0"/>
    <x v="3"/>
    <x v="3"/>
    <n v="14017"/>
    <s v="AZ"/>
    <n v="34637"/>
    <s v="DIGNITY-CHANDLER REGIONAL MEDICAL CENTER"/>
    <s v="Dagarag, Arvic"/>
    <s v="ACD03"/>
    <s v="ACD0312102139"/>
    <s v="UnitedHealthcare (UNET)"/>
    <n v="400000001"/>
    <s v="Dagarag, Arvic"/>
    <s v="ACD03"/>
    <n v="-1220.96"/>
    <n v="1"/>
    <x v="0"/>
    <x v="1"/>
  </r>
  <r>
    <x v="0"/>
    <x v="3"/>
    <x v="3"/>
    <n v="14017"/>
    <s v="AZ"/>
    <n v="12592"/>
    <s v="DIGNITY-ST. ROSE DOMINICAN-SIENA"/>
    <s v="Dagarag, Arvic"/>
    <s v="ACD03"/>
    <s v="ACD0312000667"/>
    <s v="UHC Affiliates (Sierra Health Services Health Plan of Nevada)"/>
    <n v="211930021"/>
    <s v="Dagarag, Arvic"/>
    <s v="ACD03"/>
    <n v="-2394"/>
    <n v="1"/>
    <x v="0"/>
    <x v="1"/>
  </r>
  <r>
    <x v="0"/>
    <x v="3"/>
    <x v="3"/>
    <n v="14017"/>
    <s v="AZ"/>
    <n v="12592"/>
    <s v="DIGNITY-ST. ROSE DOMINICAN-SIENA"/>
    <s v="Dagarag, Arvic"/>
    <s v="ACD03"/>
    <s v="ACD0312197761"/>
    <s v="UHC Affiliates (Sierra Health Services Health Plan of Nevada)"/>
    <n v="211930021"/>
    <s v="Dagarag, Arvic"/>
    <s v="ACD03"/>
    <n v="-1197"/>
    <n v="1"/>
    <x v="0"/>
    <x v="1"/>
  </r>
  <r>
    <x v="1"/>
    <x v="1"/>
    <x v="1"/>
    <n v="40337"/>
    <s v="IL"/>
    <n v="12103"/>
    <s v="ADVOCATE GOOD SAMARITAN HOSPITAL"/>
    <s v="De La Cruz, Thomas Marwin"/>
    <s v="TGD01"/>
    <s v="TGD0112231593"/>
    <s v="UnitedHealthcare (COSMOS)"/>
    <n v="400000002"/>
    <s v="De La Cruz, Thomas Marwin"/>
    <s v="TGD01"/>
    <n v="-711.11"/>
    <n v="1"/>
    <x v="0"/>
    <x v="1"/>
  </r>
  <r>
    <x v="1"/>
    <x v="1"/>
    <x v="1"/>
    <n v="40337"/>
    <s v="IL"/>
    <n v="12103"/>
    <s v="ADVOCATE GOOD SAMARITAN HOSPITAL"/>
    <s v="De La Cruz, Thomas Marwin"/>
    <s v="TGD01"/>
    <s v="TGD0112216022"/>
    <s v="UHC Affiliates (Ingenix Subrogation)"/>
    <n v="211930054"/>
    <s v="De La Cruz, Thomas Marwin"/>
    <s v="TGD01"/>
    <n v="-1509.12"/>
    <n v="1"/>
    <x v="0"/>
    <x v="1"/>
  </r>
  <r>
    <x v="1"/>
    <x v="1"/>
    <x v="1"/>
    <n v="40337"/>
    <s v="IL"/>
    <n v="26633"/>
    <s v="ADVOCATE CONDELL MEDICAL CENTER"/>
    <s v="Dela cruz, Mary joy"/>
    <s v="MGD02"/>
    <s v="MGD0212238710"/>
    <s v="Humana (Louisville)"/>
    <n v="111800022"/>
    <s v="Dela cruz, Mary joy"/>
    <s v="MGD02"/>
    <n v="-139.41"/>
    <n v="1"/>
    <x v="0"/>
    <x v="1"/>
  </r>
  <r>
    <x v="1"/>
    <x v="1"/>
    <x v="1"/>
    <n v="40337"/>
    <s v="IL"/>
    <n v="12942"/>
    <s v="ADVOCATE LUTHERAN GENERAL HOSPITAL"/>
    <s v="Dela cruz, Mary joy"/>
    <s v="MGD02"/>
    <s v="MGD0212151211"/>
    <s v="CIGNA HealthCare - PROCLAIM (Primary)"/>
    <n v="144730001"/>
    <s v="Dela cruz, Mary joy"/>
    <s v="MGD02"/>
    <n v="-7293.21"/>
    <n v="1"/>
    <x v="0"/>
    <x v="1"/>
  </r>
  <r>
    <x v="1"/>
    <x v="1"/>
    <x v="1"/>
    <n v="40337"/>
    <s v="IL"/>
    <n v="12942"/>
    <s v="ADVOCATE LUTHERAN GENERAL HOSPITAL"/>
    <s v="Dela cruz, Mary joy"/>
    <s v="MGD02"/>
    <s v="MGD0212220642"/>
    <s v="CIGNA HealthCare - PROCLAIM (Primary)"/>
    <n v="144730001"/>
    <s v="Dela cruz, Mary joy"/>
    <s v="MGD02"/>
    <n v="-184.88"/>
    <n v="1"/>
    <x v="0"/>
    <x v="1"/>
  </r>
  <r>
    <x v="1"/>
    <x v="1"/>
    <x v="1"/>
    <n v="40337"/>
    <s v="IL"/>
    <n v="12942"/>
    <s v="ADVOCATE LUTHERAN GENERAL HOSPITAL"/>
    <s v="Dela cruz, Mary joy"/>
    <s v="MGD02"/>
    <s v="MGD0212222934"/>
    <s v="CIGNA HealthCare - PROCLAIM (Primary)"/>
    <n v="144730001"/>
    <s v="Dela cruz, Mary joy"/>
    <s v="MGD02"/>
    <n v="-213.96"/>
    <n v="1"/>
    <x v="0"/>
    <x v="1"/>
  </r>
  <r>
    <x v="1"/>
    <x v="1"/>
    <x v="5"/>
    <n v="13585"/>
    <s v="IL"/>
    <n v="10284"/>
    <s v="PH-MERCY MEDICAL CENTER"/>
    <s v="Dimasangal, Dexter"/>
    <s v="DID01"/>
    <s v="DID0112199789"/>
    <s v="Coventry (Coventry of Illinois)"/>
    <n v="113170039"/>
    <s v="Dimasangal, Dexter"/>
    <s v="DID01"/>
    <n v="-2428.29"/>
    <n v="1"/>
    <x v="0"/>
    <x v="1"/>
  </r>
  <r>
    <x v="1"/>
    <x v="1"/>
    <x v="5"/>
    <n v="13585"/>
    <s v="IL"/>
    <n v="10284"/>
    <s v="PH-MERCY MEDICAL CENTER"/>
    <s v="Dimasangal, Dexter"/>
    <s v="DID01"/>
    <s v="DID0112201262"/>
    <s v="Aetna - Traditional (Primary)"/>
    <n v="113700001"/>
    <s v="Dimasangal, Dexter"/>
    <s v="DID01"/>
    <n v="-33.6"/>
    <n v="1"/>
    <x v="0"/>
    <x v="1"/>
  </r>
  <r>
    <x v="1"/>
    <x v="1"/>
    <x v="5"/>
    <n v="13585"/>
    <s v="IL"/>
    <n v="11969"/>
    <s v="PH-ST. JOSEPH HOSPITAL - ELGIN"/>
    <s v="Dimasangal, Dexter"/>
    <s v="DID01"/>
    <s v="DID0112184497"/>
    <s v="Coventry (Coventry of Illinois)"/>
    <n v="113170039"/>
    <s v="Dimasangal, Dexter"/>
    <s v="DID01"/>
    <n v="-3436.41"/>
    <n v="1"/>
    <x v="0"/>
    <x v="1"/>
  </r>
  <r>
    <x v="1"/>
    <x v="1"/>
    <x v="5"/>
    <n v="13585"/>
    <s v="IL"/>
    <n v="11969"/>
    <s v="PH-ST. JOSEPH HOSPITAL - ELGIN"/>
    <s v="Dimasangal, Dexter"/>
    <s v="DID01"/>
    <s v="DID0112201486"/>
    <s v="Aetna - Traditional (Primary)"/>
    <n v="113700001"/>
    <s v="Dimasangal, Dexter"/>
    <s v="DID01"/>
    <n v="-982.38"/>
    <n v="1"/>
    <x v="0"/>
    <x v="1"/>
  </r>
  <r>
    <x v="1"/>
    <x v="1"/>
    <x v="5"/>
    <n v="13585"/>
    <s v="IL"/>
    <n v="11969"/>
    <s v="PH-ST. JOSEPH HOSPITAL - ELGIN"/>
    <s v="Dimasangal, Dexter"/>
    <s v="DID01"/>
    <s v="DID0112221248"/>
    <s v="UnitedHealthcare (UNET)"/>
    <n v="400000001"/>
    <s v="Dimasangal, Dexter"/>
    <s v="DID01"/>
    <n v="-122.59"/>
    <n v="1"/>
    <x v="0"/>
    <x v="1"/>
  </r>
  <r>
    <x v="1"/>
    <x v="1"/>
    <x v="5"/>
    <n v="13585"/>
    <s v="IL"/>
    <n v="85565"/>
    <s v="PH-ST. JOSEPH MEDICAL CENTER-JOLIET"/>
    <s v="Dimasangal, Dexter"/>
    <s v="DID01"/>
    <s v="DID0112187420"/>
    <s v="Coventry (Coventry of Illinois)"/>
    <n v="113170039"/>
    <s v="Dimasangal, Dexter"/>
    <s v="DID01"/>
    <n v="-1856.56"/>
    <n v="1"/>
    <x v="0"/>
    <x v="1"/>
  </r>
  <r>
    <x v="1"/>
    <x v="1"/>
    <x v="5"/>
    <n v="13585"/>
    <s v="IL"/>
    <n v="85565"/>
    <s v="PH-ST. JOSEPH MEDICAL CENTER-JOLIET"/>
    <s v="Dimasangal, Dexter"/>
    <s v="DID01"/>
    <s v="DID0112190930"/>
    <s v="Coventry (Coventry of Illinois)"/>
    <n v="113170039"/>
    <s v="Dimasangal, Dexter"/>
    <s v="DID01"/>
    <n v="-2147.1799999999998"/>
    <n v="1"/>
    <x v="0"/>
    <x v="1"/>
  </r>
  <r>
    <x v="1"/>
    <x v="1"/>
    <x v="5"/>
    <n v="13585"/>
    <s v="IL"/>
    <n v="85565"/>
    <s v="PH-ST. JOSEPH MEDICAL CENTER-JOLIET"/>
    <s v="Dimasangal, Dexter"/>
    <s v="DID01"/>
    <s v="DID0112195182"/>
    <s v="Mail Handlers Benefit Plan (Primary)"/>
    <n v="126260001"/>
    <s v="Dimasangal, Dexter"/>
    <s v="DID01"/>
    <n v="-1273.5"/>
    <n v="1"/>
    <x v="0"/>
    <x v="1"/>
  </r>
  <r>
    <x v="1"/>
    <x v="1"/>
    <x v="5"/>
    <n v="13585"/>
    <s v="IL"/>
    <n v="11742"/>
    <s v="PH-ST. MARY'S HOSPITAL"/>
    <s v="Dimasangal, Dexter"/>
    <s v="DID01"/>
    <s v="DID0112188647"/>
    <s v="Coventry (Coventry of Illinois)"/>
    <n v="113170039"/>
    <s v="Dimasangal, Dexter"/>
    <s v="DID01"/>
    <n v="-128.41999999999999"/>
    <n v="1"/>
    <x v="0"/>
    <x v="1"/>
  </r>
  <r>
    <x v="1"/>
    <x v="1"/>
    <x v="5"/>
    <n v="13585"/>
    <s v="IL"/>
    <n v="11742"/>
    <s v="PH-ST. MARY'S HOSPITAL"/>
    <s v="Dimasangal, Dexter"/>
    <s v="DID01"/>
    <s v="DID0112197597"/>
    <s v="Coventry (Coventry of Illinois)"/>
    <n v="113170039"/>
    <s v="Dimasangal, Dexter"/>
    <s v="DID01"/>
    <n v="-1203.6300000000001"/>
    <n v="1"/>
    <x v="0"/>
    <x v="1"/>
  </r>
  <r>
    <x v="1"/>
    <x v="1"/>
    <x v="5"/>
    <n v="13585"/>
    <s v="IL"/>
    <n v="11742"/>
    <s v="PH-ST. MARY'S HOSPITAL"/>
    <s v="Dimasangal, Dexter"/>
    <s v="DID01"/>
    <s v="DID0112215965"/>
    <s v="Coventry (Coventry of Illinois)"/>
    <n v="113170039"/>
    <s v="Dimasangal, Dexter"/>
    <s v="DID01"/>
    <n v="-65.150000000000006"/>
    <n v="1"/>
    <x v="0"/>
    <x v="1"/>
  </r>
  <r>
    <x v="1"/>
    <x v="1"/>
    <x v="5"/>
    <n v="13585"/>
    <s v="IL"/>
    <n v="11742"/>
    <s v="PH-ST. MARY'S HOSPITAL"/>
    <s v="Dimasangal, Dexter"/>
    <s v="DID01"/>
    <s v="DID0112221159"/>
    <s v="Humana (GB)"/>
    <n v="111800014"/>
    <s v="Dimasangal, Dexter"/>
    <s v="DID01"/>
    <n v="-196.51"/>
    <n v="1"/>
    <x v="0"/>
    <x v="1"/>
  </r>
  <r>
    <x v="1"/>
    <x v="1"/>
    <x v="5"/>
    <n v="13585"/>
    <s v="IL"/>
    <n v="39711"/>
    <s v="PH-UNITED SAMARITANS MEDICAL CENTER"/>
    <s v="Dimasangal, Dexter"/>
    <s v="DID01"/>
    <s v="DID0112195407"/>
    <s v="Mail Handlers Benefit Plan (Primary)"/>
    <n v="126260001"/>
    <s v="Dimasangal, Dexter"/>
    <s v="DID01"/>
    <n v="-365.34"/>
    <n v="1"/>
    <x v="0"/>
    <x v="1"/>
  </r>
  <r>
    <x v="1"/>
    <x v="1"/>
    <x v="5"/>
    <n v="13585"/>
    <s v="IL"/>
    <n v="13584"/>
    <s v="PH-COVENANT MEDICAL CENTER"/>
    <s v="Discarga, Marilou"/>
    <s v="MDD03"/>
    <s v="MDD0312191965"/>
    <s v="Health Alliance Medical Plans (Primary)"/>
    <n v="115910001"/>
    <s v="Discarga, Marilou"/>
    <s v="MDD03"/>
    <n v="-986.74"/>
    <n v="1"/>
    <x v="0"/>
    <x v="1"/>
  </r>
  <r>
    <x v="1"/>
    <x v="1"/>
    <x v="5"/>
    <n v="13585"/>
    <s v="IL"/>
    <n v="13584"/>
    <s v="PH-COVENANT MEDICAL CENTER"/>
    <s v="Discarga, Marilou"/>
    <s v="MDD03"/>
    <s v="MDD0312199723"/>
    <s v="Coventry (Coventry of Illinois)"/>
    <n v="113170039"/>
    <s v="Discarga, Marilou"/>
    <s v="MDD03"/>
    <n v="-1769.32"/>
    <n v="1"/>
    <x v="0"/>
    <x v="1"/>
  </r>
  <r>
    <x v="1"/>
    <x v="1"/>
    <x v="5"/>
    <n v="13585"/>
    <s v="IL"/>
    <n v="10284"/>
    <s v="PH-MERCY MEDICAL CENTER"/>
    <s v="Discarga, Marilou"/>
    <s v="MDD03"/>
    <s v="MDD0312162151"/>
    <s v="Humana (Louisville)"/>
    <n v="111800022"/>
    <s v="Discarga, Marilou"/>
    <s v="MDD03"/>
    <n v="-8009.54"/>
    <n v="1"/>
    <x v="0"/>
    <x v="1"/>
  </r>
  <r>
    <x v="1"/>
    <x v="1"/>
    <x v="5"/>
    <n v="13585"/>
    <s v="IL"/>
    <n v="11969"/>
    <s v="PH-ST. JOSEPH HOSPITAL - ELGIN"/>
    <s v="Discarga, Marilou"/>
    <s v="MDD03"/>
    <s v="MDD0312175309"/>
    <s v="CIGNA HealthCare - PROCLAIM (Primary)"/>
    <n v="144730001"/>
    <s v="Discarga, Marilou"/>
    <s v="MDD03"/>
    <n v="-8135.02"/>
    <n v="1"/>
    <x v="0"/>
    <x v="1"/>
  </r>
  <r>
    <x v="1"/>
    <x v="1"/>
    <x v="5"/>
    <n v="13585"/>
    <s v="IL"/>
    <n v="11969"/>
    <s v="PH-ST. JOSEPH HOSPITAL - ELGIN"/>
    <s v="Discarga, Marilou"/>
    <s v="MDD03"/>
    <s v="MDD0312197753"/>
    <s v="Coventry (Coventry of Illinois)"/>
    <n v="113170039"/>
    <s v="Discarga, Marilou"/>
    <s v="MDD03"/>
    <n v="-963"/>
    <n v="1"/>
    <x v="0"/>
    <x v="1"/>
  </r>
  <r>
    <x v="1"/>
    <x v="1"/>
    <x v="5"/>
    <n v="13585"/>
    <s v="IL"/>
    <n v="11969"/>
    <s v="PH-ST. JOSEPH HOSPITAL - ELGIN"/>
    <s v="Discarga, Marilou"/>
    <s v="MDD03"/>
    <s v="MDD0312199902"/>
    <s v="Aetna - Traditional (Primary)"/>
    <n v="113700001"/>
    <s v="Discarga, Marilou"/>
    <s v="MDD03"/>
    <n v="-802.76"/>
    <n v="1"/>
    <x v="0"/>
    <x v="1"/>
  </r>
  <r>
    <x v="1"/>
    <x v="1"/>
    <x v="5"/>
    <n v="13585"/>
    <s v="IL"/>
    <n v="85565"/>
    <s v="PH-ST. JOSEPH MEDICAL CENTER-JOLIET"/>
    <s v="Discarga, Marilou"/>
    <s v="MDD03"/>
    <s v="MDD0312209870"/>
    <s v="UnitedHealthcare (UNET)"/>
    <n v="400000001"/>
    <s v="Discarga, Marilou"/>
    <s v="MDD03"/>
    <n v="-1658"/>
    <n v="1"/>
    <x v="0"/>
    <x v="1"/>
  </r>
  <r>
    <x v="1"/>
    <x v="1"/>
    <x v="5"/>
    <n v="13585"/>
    <s v="IL"/>
    <n v="11742"/>
    <s v="PH-ST. MARY'S HOSPITAL"/>
    <s v="Discarga, Marilou"/>
    <s v="MDD03"/>
    <s v="MDD0312188062"/>
    <s v="Coventry (Coventry of Illinois)"/>
    <n v="113170039"/>
    <s v="Discarga, Marilou"/>
    <s v="MDD03"/>
    <n v="-128.41999999999999"/>
    <n v="1"/>
    <x v="0"/>
    <x v="1"/>
  </r>
  <r>
    <x v="1"/>
    <x v="1"/>
    <x v="5"/>
    <n v="13585"/>
    <s v="IL"/>
    <n v="11742"/>
    <s v="PH-ST. MARY'S HOSPITAL"/>
    <s v="Discarga, Marilou"/>
    <s v="MDD03"/>
    <s v="MDD0312190073"/>
    <s v="Coventry (Coventry of Illinois)"/>
    <n v="113170039"/>
    <s v="Discarga, Marilou"/>
    <s v="MDD03"/>
    <n v="-277.04000000000002"/>
    <n v="1"/>
    <x v="0"/>
    <x v="1"/>
  </r>
  <r>
    <x v="1"/>
    <x v="1"/>
    <x v="5"/>
    <n v="13585"/>
    <s v="IL"/>
    <n v="11742"/>
    <s v="PH-ST. MARY'S HOSPITAL"/>
    <s v="Discarga, Marilou"/>
    <s v="MDD03"/>
    <s v="MDD0312206304"/>
    <s v="Coventry (Coventry of Illinois)"/>
    <n v="113170039"/>
    <s v="Discarga, Marilou"/>
    <s v="MDD03"/>
    <n v="-128.41999999999999"/>
    <n v="1"/>
    <x v="0"/>
    <x v="1"/>
  </r>
  <r>
    <x v="1"/>
    <x v="1"/>
    <x v="5"/>
    <n v="13585"/>
    <s v="IL"/>
    <n v="39711"/>
    <s v="PH-UNITED SAMARITANS MEDICAL CENTER"/>
    <s v="Discarga, Marilou"/>
    <s v="MDD03"/>
    <s v="MDD0312148760"/>
    <s v="Health Alliance Medical Plans (Primary)"/>
    <n v="115910001"/>
    <s v="Discarga, Marilou"/>
    <s v="MDD03"/>
    <n v="-2917.26"/>
    <n v="1"/>
    <x v="0"/>
    <x v="1"/>
  </r>
  <r>
    <x v="1"/>
    <x v="1"/>
    <x v="5"/>
    <n v="13585"/>
    <s v="IL"/>
    <n v="39711"/>
    <s v="PH-UNITED SAMARITANS MEDICAL CENTER"/>
    <s v="Discarga, Marilou"/>
    <s v="MDD03"/>
    <s v="MDD0312194033"/>
    <s v="UnitedHealthcare (UNET)"/>
    <n v="400000001"/>
    <s v="Discarga, Marilou"/>
    <s v="MDD03"/>
    <n v="-610"/>
    <n v="1"/>
    <x v="0"/>
    <x v="1"/>
  </r>
  <r>
    <x v="0"/>
    <x v="3"/>
    <x v="3"/>
    <n v="14017"/>
    <s v="AZ"/>
    <n v="12591"/>
    <s v="DIGNITY-ST. ROSE DOMINICAN-DELIMA"/>
    <s v="Ganelo, Marichelle"/>
    <s v="MGG01"/>
    <s v="MGG0112067706"/>
    <s v="HealthCare Partners LLC (Nevada)"/>
    <n v="211920002"/>
    <s v="Ganelo, Marichelle"/>
    <s v="MGG01"/>
    <n v="-1014.79"/>
    <n v="1"/>
    <x v="0"/>
    <x v="1"/>
  </r>
  <r>
    <x v="2"/>
    <x v="5"/>
    <x v="7"/>
    <n v="13378"/>
    <s v="OH"/>
    <n v="10084"/>
    <s v="MEDCENTRAL HEALTH SYSTEM"/>
    <s v="Herrera, Glenn"/>
    <s v="GJH01"/>
    <s v="GJH0112136668"/>
    <s v="Humana (Louisville)"/>
    <n v="111800022"/>
    <s v="Herrera, Glenn"/>
    <s v="GJH01"/>
    <n v="-71"/>
    <n v="1"/>
    <x v="0"/>
    <x v="1"/>
  </r>
  <r>
    <x v="2"/>
    <x v="5"/>
    <x v="7"/>
    <n v="13378"/>
    <s v="OH"/>
    <n v="10084"/>
    <s v="MEDCENTRAL HEALTH SYSTEM"/>
    <s v="Herrera, Glenn"/>
    <s v="GJH01"/>
    <s v="GJH0112137774"/>
    <s v="Humana (Jacksonville)"/>
    <n v="111800011"/>
    <s v="Herrera, Glenn"/>
    <s v="GJH01"/>
    <n v="-61.2"/>
    <n v="1"/>
    <x v="0"/>
    <x v="1"/>
  </r>
  <r>
    <x v="2"/>
    <x v="5"/>
    <x v="7"/>
    <n v="13378"/>
    <s v="OH"/>
    <n v="10084"/>
    <s v="MEDCENTRAL HEALTH SYSTEM"/>
    <s v="Herrera, Glenn"/>
    <s v="GJH01"/>
    <s v="GJH0112140621"/>
    <s v="Humana (Louisville)"/>
    <n v="111800022"/>
    <s v="Herrera, Glenn"/>
    <s v="GJH01"/>
    <n v="-65.83"/>
    <n v="1"/>
    <x v="0"/>
    <x v="1"/>
  </r>
  <r>
    <x v="2"/>
    <x v="5"/>
    <x v="7"/>
    <n v="13378"/>
    <s v="OH"/>
    <n v="10084"/>
    <s v="MEDCENTRAL HEALTH SYSTEM"/>
    <s v="Herrera, Glenn"/>
    <s v="GJH01"/>
    <s v="GJH0112141927"/>
    <s v="Humana (Louisville)"/>
    <n v="111800022"/>
    <s v="Herrera, Glenn"/>
    <s v="GJH01"/>
    <n v="-57.59"/>
    <n v="1"/>
    <x v="0"/>
    <x v="1"/>
  </r>
  <r>
    <x v="2"/>
    <x v="5"/>
    <x v="7"/>
    <n v="13378"/>
    <s v="OH"/>
    <n v="10084"/>
    <s v="MEDCENTRAL HEALTH SYSTEM"/>
    <s v="Herrera, Glenn"/>
    <s v="GJH01"/>
    <s v="GJH0112143605"/>
    <s v="Humana (Louisville)"/>
    <n v="111800022"/>
    <s v="Herrera, Glenn"/>
    <s v="GJH01"/>
    <n v="-55.49"/>
    <n v="1"/>
    <x v="0"/>
    <x v="1"/>
  </r>
  <r>
    <x v="2"/>
    <x v="5"/>
    <x v="7"/>
    <n v="13378"/>
    <s v="OH"/>
    <n v="10084"/>
    <s v="MEDCENTRAL HEALTH SYSTEM"/>
    <s v="Herrera, Glenn"/>
    <s v="GJH01"/>
    <s v="GJH0112144427"/>
    <s v="Humana (Louisville)"/>
    <n v="111800022"/>
    <s v="Herrera, Glenn"/>
    <s v="GJH01"/>
    <n v="-50.24"/>
    <n v="1"/>
    <x v="0"/>
    <x v="1"/>
  </r>
  <r>
    <x v="2"/>
    <x v="5"/>
    <x v="7"/>
    <n v="13378"/>
    <s v="OH"/>
    <n v="10084"/>
    <s v="MEDCENTRAL HEALTH SYSTEM"/>
    <s v="Herrera, Glenn"/>
    <s v="GJH01"/>
    <s v="GJH0112146699"/>
    <s v="Humana (Louisville)"/>
    <n v="111800022"/>
    <s v="Herrera, Glenn"/>
    <s v="GJH01"/>
    <n v="-86.24"/>
    <n v="1"/>
    <x v="0"/>
    <x v="1"/>
  </r>
  <r>
    <x v="2"/>
    <x v="5"/>
    <x v="7"/>
    <n v="13378"/>
    <s v="OH"/>
    <n v="10084"/>
    <s v="MEDCENTRAL HEALTH SYSTEM"/>
    <s v="Herrera, Glenn"/>
    <s v="GJH01"/>
    <s v="GJH0112147642"/>
    <s v="UHC Affiliates (UMR (CPS))"/>
    <n v="211930002"/>
    <s v="Herrera, Glenn"/>
    <s v="GJH01"/>
    <n v="-265.14"/>
    <n v="1"/>
    <x v="0"/>
    <x v="1"/>
  </r>
  <r>
    <x v="2"/>
    <x v="5"/>
    <x v="7"/>
    <n v="13378"/>
    <s v="OH"/>
    <n v="10084"/>
    <s v="MEDCENTRAL HEALTH SYSTEM"/>
    <s v="Herrera, Glenn"/>
    <s v="GJH01"/>
    <s v="GJH0112151471"/>
    <s v="UHC Affiliates (UMR (CPS))"/>
    <n v="211930002"/>
    <s v="Herrera, Glenn"/>
    <s v="GJH01"/>
    <n v="-657.61"/>
    <n v="1"/>
    <x v="0"/>
    <x v="1"/>
  </r>
  <r>
    <x v="2"/>
    <x v="5"/>
    <x v="7"/>
    <n v="13378"/>
    <s v="OH"/>
    <n v="10084"/>
    <s v="MEDCENTRAL HEALTH SYSTEM"/>
    <s v="Herrera, Glenn"/>
    <s v="GJH01"/>
    <s v="GJH0112154148"/>
    <s v="UnitedHealthcare (Americhoice CSP)"/>
    <n v="400000198"/>
    <s v="Herrera, Glenn"/>
    <s v="GJH01"/>
    <n v="-110.28"/>
    <n v="1"/>
    <x v="0"/>
    <x v="1"/>
  </r>
  <r>
    <x v="2"/>
    <x v="5"/>
    <x v="7"/>
    <n v="13378"/>
    <s v="OH"/>
    <n v="10084"/>
    <s v="MEDCENTRAL HEALTH SYSTEM"/>
    <s v="Herrera, Glenn"/>
    <s v="GJH01"/>
    <s v="GJH0112155205"/>
    <s v="UnitedHealthcare (Americhoice CSP)"/>
    <n v="400000198"/>
    <s v="Herrera, Glenn"/>
    <s v="GJH01"/>
    <n v="-97.86"/>
    <n v="1"/>
    <x v="0"/>
    <x v="1"/>
  </r>
  <r>
    <x v="2"/>
    <x v="5"/>
    <x v="7"/>
    <n v="13378"/>
    <s v="OH"/>
    <n v="10084"/>
    <s v="MEDCENTRAL HEALTH SYSTEM"/>
    <s v="Herrera, Glenn"/>
    <s v="GJH01"/>
    <s v="GJH0112160127"/>
    <s v="Humana (Louisville)"/>
    <n v="111800022"/>
    <s v="Herrera, Glenn"/>
    <s v="GJH01"/>
    <n v="-50.05"/>
    <n v="1"/>
    <x v="0"/>
    <x v="1"/>
  </r>
  <r>
    <x v="2"/>
    <x v="5"/>
    <x v="7"/>
    <n v="13378"/>
    <s v="OH"/>
    <n v="10084"/>
    <s v="MEDCENTRAL HEALTH SYSTEM"/>
    <s v="Herrera, Glenn"/>
    <s v="GJH01"/>
    <s v="GJH0112160948"/>
    <s v="Humana (Louisville)"/>
    <n v="111800022"/>
    <s v="Herrera, Glenn"/>
    <s v="GJH01"/>
    <n v="-133.80000000000001"/>
    <n v="1"/>
    <x v="0"/>
    <x v="1"/>
  </r>
  <r>
    <x v="2"/>
    <x v="5"/>
    <x v="7"/>
    <n v="13378"/>
    <s v="OH"/>
    <n v="10084"/>
    <s v="MEDCENTRAL HEALTH SYSTEM"/>
    <s v="Herrera, Glenn"/>
    <s v="GJH01"/>
    <s v="GJH0112168278"/>
    <s v="UnitedHealthcare (Americhoice CSP)"/>
    <n v="400000198"/>
    <s v="Herrera, Glenn"/>
    <s v="GJH01"/>
    <n v="-86.61"/>
    <n v="1"/>
    <x v="0"/>
    <x v="1"/>
  </r>
  <r>
    <x v="2"/>
    <x v="5"/>
    <x v="7"/>
    <n v="13378"/>
    <s v="OH"/>
    <n v="10084"/>
    <s v="MEDCENTRAL HEALTH SYSTEM"/>
    <s v="Herrera, Glenn"/>
    <s v="GJH01"/>
    <s v="GJH0112179708"/>
    <s v="UnitedHealthcare (Americhoice CSP)"/>
    <n v="400000198"/>
    <s v="Herrera, Glenn"/>
    <s v="GJH01"/>
    <n v="-79.59"/>
    <n v="1"/>
    <x v="0"/>
    <x v="1"/>
  </r>
  <r>
    <x v="3"/>
    <x v="6"/>
    <x v="8"/>
    <n v="14933"/>
    <s v="NY"/>
    <n v="12781"/>
    <s v="SAMARITAN HOSPITAL"/>
    <s v="Jimenez, Arjay"/>
    <s v="AVJ01"/>
    <s v="AVJ0112252190"/>
    <s v="UnitedHealthcare (UNET)"/>
    <n v="400000001"/>
    <s v="Jimenez, Arjay"/>
    <s v="AVJ01"/>
    <n v="-22.75"/>
    <n v="1"/>
    <x v="0"/>
    <x v="1"/>
  </r>
  <r>
    <x v="3"/>
    <x v="6"/>
    <x v="8"/>
    <n v="14933"/>
    <s v="NY"/>
    <n v="12781"/>
    <s v="SAMARITAN HOSPITAL"/>
    <s v="Jimenez, Arjay"/>
    <s v="AVJ01"/>
    <s v="AVJ0112253823"/>
    <s v="UnitedHealthcare (UNET)"/>
    <n v="400000001"/>
    <s v="Jimenez, Arjay"/>
    <s v="AVJ01"/>
    <n v="-37"/>
    <n v="1"/>
    <x v="0"/>
    <x v="1"/>
  </r>
  <r>
    <x v="3"/>
    <x v="6"/>
    <x v="8"/>
    <n v="14933"/>
    <s v="NY"/>
    <n v="69732"/>
    <s v="SETON HEALTH-ST. MARY'S"/>
    <s v="Jimenez, Arjay"/>
    <s v="AVJ01"/>
    <s v="AVJ0112251780"/>
    <s v="UnitedHealthcare (UNET)"/>
    <n v="400000001"/>
    <s v="Jimenez, Arjay"/>
    <s v="AVJ01"/>
    <n v="-29.37"/>
    <n v="1"/>
    <x v="0"/>
    <x v="1"/>
  </r>
  <r>
    <x v="3"/>
    <x v="6"/>
    <x v="8"/>
    <n v="14933"/>
    <s v="NY"/>
    <n v="69732"/>
    <s v="SETON HEALTH-ST. MARY'S"/>
    <s v="Jimenez, Arjay"/>
    <s v="AVJ01"/>
    <s v="AVJ0112254675"/>
    <s v="UnitedHealthcare (UNET)"/>
    <n v="400000001"/>
    <s v="Jimenez, Arjay"/>
    <s v="AVJ01"/>
    <n v="-62.81"/>
    <n v="1"/>
    <x v="0"/>
    <x v="1"/>
  </r>
  <r>
    <x v="3"/>
    <x v="6"/>
    <x v="8"/>
    <n v="14933"/>
    <s v="NY"/>
    <n v="69732"/>
    <s v="SETON HEALTH-ST. MARY'S"/>
    <s v="Jimenez, Arjay"/>
    <s v="AVJ01"/>
    <s v="AVJ0112255636"/>
    <s v="UnitedHealthcare (UNET)"/>
    <n v="400000001"/>
    <s v="Jimenez, Arjay"/>
    <s v="AVJ01"/>
    <n v="-21.23"/>
    <n v="1"/>
    <x v="0"/>
    <x v="1"/>
  </r>
  <r>
    <x v="3"/>
    <x v="6"/>
    <x v="8"/>
    <n v="14933"/>
    <s v="NY"/>
    <n v="69732"/>
    <s v="SETON HEALTH-ST. MARY'S"/>
    <s v="Jimenez, Arjay"/>
    <s v="AVJ01"/>
    <s v="AVJ0112255708"/>
    <s v="UnitedHealthcare (UNET)"/>
    <n v="400000001"/>
    <s v="Jimenez, Arjay"/>
    <s v="AVJ01"/>
    <n v="-62.81"/>
    <n v="1"/>
    <x v="0"/>
    <x v="1"/>
  </r>
  <r>
    <x v="3"/>
    <x v="6"/>
    <x v="8"/>
    <n v="14933"/>
    <s v="NY"/>
    <n v="69732"/>
    <s v="SETON HEALTH-ST. MARY'S"/>
    <s v="Jimenez, Arjay"/>
    <s v="AVJ01"/>
    <s v="AVJ0112257309"/>
    <s v="UnitedHealthcare (UNET)"/>
    <n v="400000001"/>
    <s v="Jimenez, Arjay"/>
    <s v="AVJ01"/>
    <n v="-88.53"/>
    <n v="1"/>
    <x v="0"/>
    <x v="1"/>
  </r>
  <r>
    <x v="3"/>
    <x v="6"/>
    <x v="8"/>
    <n v="14933"/>
    <s v="NY"/>
    <n v="69732"/>
    <s v="SETON HEALTH-ST. MARY'S"/>
    <s v="Jimenez, Arjay"/>
    <s v="AVJ01"/>
    <s v="AVJ0112262470"/>
    <s v="UnitedHealthcare (UNET)"/>
    <n v="400000001"/>
    <s v="Jimenez, Arjay"/>
    <s v="AVJ01"/>
    <n v="-28.12"/>
    <n v="1"/>
    <x v="0"/>
    <x v="1"/>
  </r>
  <r>
    <x v="1"/>
    <x v="1"/>
    <x v="1"/>
    <n v="40337"/>
    <s v="IL"/>
    <n v="11581"/>
    <s v="ADVOCATE GOOD SHEPHERD HOSPITAL"/>
    <s v="Llamas, Jerome"/>
    <s v="JZL01"/>
    <s v="JZL0112062079"/>
    <s v="Aetna - Traditional (Primary)"/>
    <n v="113700001"/>
    <s v="Llamas, Jerome"/>
    <s v="JZL01"/>
    <n v="-456.34"/>
    <n v="1"/>
    <x v="0"/>
    <x v="1"/>
  </r>
  <r>
    <x v="1"/>
    <x v="1"/>
    <x v="1"/>
    <n v="40337"/>
    <s v="IL"/>
    <n v="11581"/>
    <s v="ADVOCATE GOOD SHEPHERD HOSPITAL"/>
    <s v="Llamas, Jerome"/>
    <s v="JZL01"/>
    <s v="JZL0112238561"/>
    <s v="UnitedHealthcare (UNET)"/>
    <n v="400000001"/>
    <s v="Llamas, Jerome"/>
    <s v="JZL01"/>
    <n v="-3058"/>
    <n v="1"/>
    <x v="0"/>
    <x v="1"/>
  </r>
  <r>
    <x v="1"/>
    <x v="1"/>
    <x v="1"/>
    <n v="40337"/>
    <s v="IL"/>
    <n v="11581"/>
    <s v="ADVOCATE GOOD SHEPHERD HOSPITAL"/>
    <s v="Llamas, Jerome"/>
    <s v="JZL01"/>
    <s v="JZL0112232273"/>
    <s v="UHC Affiliates (Ingenix Subrogation)"/>
    <n v="211930054"/>
    <s v="Llamas, Jerome"/>
    <s v="JZL01"/>
    <n v="-99.46"/>
    <n v="1"/>
    <x v="0"/>
    <x v="1"/>
  </r>
  <r>
    <x v="1"/>
    <x v="1"/>
    <x v="1"/>
    <n v="40337"/>
    <s v="IL"/>
    <n v="11662"/>
    <s v="ADVOCATE SOUTH SUBURBAN HOSPITAL"/>
    <s v="Llamas, Jerome"/>
    <s v="JZL01"/>
    <s v="JZL0112221448"/>
    <s v="CIGNA HealthCare - PROCLAIM (Primary)"/>
    <n v="144730001"/>
    <s v="Llamas, Jerome"/>
    <s v="JZL01"/>
    <n v="-113.98"/>
    <n v="1"/>
    <x v="0"/>
    <x v="1"/>
  </r>
  <r>
    <x v="1"/>
    <x v="1"/>
    <x v="1"/>
    <n v="40337"/>
    <s v="IL"/>
    <n v="11662"/>
    <s v="ADVOCATE SOUTH SUBURBAN HOSPITAL"/>
    <s v="Llamas, Jerome"/>
    <s v="JZL01"/>
    <s v="JZL0112232390"/>
    <s v="Humana (Louisville)"/>
    <n v="111800022"/>
    <s v="Llamas, Jerome"/>
    <s v="JZL01"/>
    <n v="-134.93"/>
    <n v="1"/>
    <x v="0"/>
    <x v="1"/>
  </r>
  <r>
    <x v="1"/>
    <x v="1"/>
    <x v="1"/>
    <n v="40337"/>
    <s v="IL"/>
    <n v="26633"/>
    <s v="ADVOCATE CONDELL MEDICAL CENTER"/>
    <s v="Lopez, Princess"/>
    <s v="PTL02"/>
    <s v="PTL0212235665"/>
    <s v="UHC Affiliates (AARP)"/>
    <n v="211930001"/>
    <s v="Lopez, Princess"/>
    <s v="PTL02"/>
    <n v="-69"/>
    <n v="1"/>
    <x v="0"/>
    <x v="1"/>
  </r>
  <r>
    <x v="1"/>
    <x v="1"/>
    <x v="1"/>
    <n v="40337"/>
    <s v="IL"/>
    <n v="26633"/>
    <s v="ADVOCATE CONDELL MEDICAL CENTER"/>
    <s v="Lopez, Princess"/>
    <s v="PTL02"/>
    <s v="PTL0212240232"/>
    <s v="UHC Affiliates (AARP)"/>
    <n v="211930001"/>
    <s v="Lopez, Princess"/>
    <s v="PTL02"/>
    <n v="-25.65"/>
    <n v="1"/>
    <x v="0"/>
    <x v="1"/>
  </r>
  <r>
    <x v="1"/>
    <x v="1"/>
    <x v="1"/>
    <n v="40337"/>
    <s v="IL"/>
    <n v="26633"/>
    <s v="ADVOCATE CONDELL MEDICAL CENTER"/>
    <s v="Lopez, Princess"/>
    <s v="PTL02"/>
    <s v="PTL0212240429"/>
    <s v="UHC Affiliates (AARP)"/>
    <n v="211930001"/>
    <s v="Lopez, Princess"/>
    <s v="PTL02"/>
    <n v="-46"/>
    <n v="1"/>
    <x v="0"/>
    <x v="1"/>
  </r>
  <r>
    <x v="1"/>
    <x v="1"/>
    <x v="1"/>
    <n v="40337"/>
    <s v="IL"/>
    <n v="26633"/>
    <s v="ADVOCATE CONDELL MEDICAL CENTER"/>
    <s v="Lopez, Princess"/>
    <s v="PTL02"/>
    <s v="PTL0212245524"/>
    <s v="UHC Affiliates (AARP)"/>
    <n v="211930001"/>
    <s v="Lopez, Princess"/>
    <s v="PTL02"/>
    <n v="-34.5"/>
    <n v="1"/>
    <x v="0"/>
    <x v="1"/>
  </r>
  <r>
    <x v="1"/>
    <x v="1"/>
    <x v="1"/>
    <n v="40337"/>
    <s v="IL"/>
    <n v="12942"/>
    <s v="ADVOCATE LUTHERAN GENERAL HOSPITAL"/>
    <s v="Lopez, Princess"/>
    <s v="PTL02"/>
    <s v="PTL0212238330"/>
    <s v="UHC Affiliates (AARP)"/>
    <n v="211930001"/>
    <s v="Lopez, Princess"/>
    <s v="PTL02"/>
    <n v="-90.53"/>
    <n v="1"/>
    <x v="0"/>
    <x v="1"/>
  </r>
  <r>
    <x v="1"/>
    <x v="1"/>
    <x v="1"/>
    <n v="40337"/>
    <s v="IL"/>
    <n v="45627"/>
    <s v="ADVOCATE ILLINOIS MASONIC MEDICAL CENTER"/>
    <s v="Macabitas, Marian"/>
    <s v="MCM03"/>
    <s v="MCM0312227410"/>
    <s v="CIGNA HealthCare - PROCLAIM (Primary)"/>
    <n v="144730001"/>
    <s v="Macabitas, Marian"/>
    <s v="MCM03"/>
    <n v="-273.60000000000002"/>
    <n v="1"/>
    <x v="0"/>
    <x v="1"/>
  </r>
  <r>
    <x v="1"/>
    <x v="1"/>
    <x v="1"/>
    <n v="40337"/>
    <s v="IL"/>
    <n v="45627"/>
    <s v="ADVOCATE ILLINOIS MASONIC MEDICAL CENTER"/>
    <s v="Macabitas, Marian"/>
    <s v="MCM03"/>
    <s v="MCM0312235952"/>
    <s v="UHC Affiliates (AARP)"/>
    <n v="211930001"/>
    <s v="Macabitas, Marian"/>
    <s v="MCM03"/>
    <n v="-57.5"/>
    <n v="1"/>
    <x v="0"/>
    <x v="1"/>
  </r>
  <r>
    <x v="0"/>
    <x v="3"/>
    <x v="3"/>
    <n v="14017"/>
    <s v="AZ"/>
    <n v="41042"/>
    <s v="DIGNITY-ST JOSEPHS HOSP WESTGATE"/>
    <s v="Nemi, Jonalyn"/>
    <s v="JSN02"/>
    <s v="JSN0212240957"/>
    <s v="UnitedHealthcare (UNET)"/>
    <n v="400000001"/>
    <s v="Nemi, Jonalyn"/>
    <s v="JSN02"/>
    <n v="-567.71"/>
    <n v="1"/>
    <x v="0"/>
    <x v="1"/>
  </r>
  <r>
    <x v="0"/>
    <x v="3"/>
    <x v="3"/>
    <n v="14017"/>
    <s v="AZ"/>
    <n v="78565"/>
    <s v="DIGNITY-ST. JOHN'S REGIONAL MEDICAL CTR"/>
    <s v="Nemi, Jonalyn"/>
    <s v="JSN02"/>
    <s v="JSN0212221195"/>
    <s v="Amerigroup Corporation (Anthem Government Business Cash/Direct Pay)"/>
    <n v="111930030"/>
    <s v="Nemi, Jonalyn"/>
    <s v="JSN02"/>
    <n v="-1982.61"/>
    <n v="1"/>
    <x v="0"/>
    <x v="1"/>
  </r>
  <r>
    <x v="0"/>
    <x v="3"/>
    <x v="3"/>
    <n v="14017"/>
    <s v="AZ"/>
    <n v="78565"/>
    <s v="DIGNITY-ST. JOHN'S REGIONAL MEDICAL CTR"/>
    <s v="Nemi, Jonalyn"/>
    <s v="JSN02"/>
    <s v="JSN0212224858"/>
    <s v="Amerigroup Corporation (Anthem Government Business Cash/Direct Pay)"/>
    <n v="111930030"/>
    <s v="Nemi, Jonalyn"/>
    <s v="JSN02"/>
    <n v="-305.02999999999997"/>
    <n v="1"/>
    <x v="0"/>
    <x v="1"/>
  </r>
  <r>
    <x v="0"/>
    <x v="3"/>
    <x v="3"/>
    <n v="14017"/>
    <s v="AZ"/>
    <n v="78565"/>
    <s v="DIGNITY-ST. JOHN'S REGIONAL MEDICAL CTR"/>
    <s v="Nemi, Jonalyn"/>
    <s v="JSN02"/>
    <s v="JSN0212235628"/>
    <s v="Amerigroup Corporation (Anthem Government Business Cash/Direct Pay)"/>
    <n v="111930030"/>
    <s v="Nemi, Jonalyn"/>
    <s v="JSN02"/>
    <n v="-885.64"/>
    <n v="1"/>
    <x v="0"/>
    <x v="1"/>
  </r>
  <r>
    <x v="0"/>
    <x v="3"/>
    <x v="3"/>
    <n v="14017"/>
    <s v="AZ"/>
    <n v="78565"/>
    <s v="DIGNITY-ST. JOHN'S REGIONAL MEDICAL CTR"/>
    <s v="Nemi, Jonalyn"/>
    <s v="JSN02"/>
    <s v="JSN0212238472"/>
    <s v="Blue Cross of California (Anthem) (CA TPL)"/>
    <n v="114680049"/>
    <s v="Nemi, Jonalyn"/>
    <s v="JSN02"/>
    <n v="-766.88"/>
    <n v="1"/>
    <x v="0"/>
    <x v="1"/>
  </r>
  <r>
    <x v="0"/>
    <x v="3"/>
    <x v="3"/>
    <n v="14017"/>
    <s v="AZ"/>
    <n v="78565"/>
    <s v="DIGNITY-ST. JOHN'S REGIONAL MEDICAL CTR"/>
    <s v="Nemi, Jonalyn"/>
    <s v="JSN02"/>
    <s v="JSN0212239288"/>
    <s v="Amerigroup Corporation (Anthem Government Business Cash/Direct Pay)"/>
    <n v="111930030"/>
    <s v="Nemi, Jonalyn"/>
    <s v="JSN02"/>
    <n v="-1491.66"/>
    <n v="1"/>
    <x v="0"/>
    <x v="1"/>
  </r>
  <r>
    <x v="0"/>
    <x v="3"/>
    <x v="3"/>
    <n v="14017"/>
    <s v="AZ"/>
    <n v="78577"/>
    <s v="DIGNITY-ST. JOSEPH'S HOSPITAL"/>
    <s v="Nemi, Jonalyn"/>
    <s v="JSN02"/>
    <s v="JSN0212228135"/>
    <s v="UnitedHealthcare (UNET-Recovery)"/>
    <n v="400000114"/>
    <s v="Nemi, Jonalyn"/>
    <s v="JSN02"/>
    <n v="-20305.439999999999"/>
    <n v="1"/>
    <x v="0"/>
    <x v="1"/>
  </r>
  <r>
    <x v="2"/>
    <x v="5"/>
    <x v="7"/>
    <n v="13378"/>
    <s v="OH"/>
    <n v="10084"/>
    <s v="MEDCENTRAL HEALTH SYSTEM"/>
    <s v="Noriega, Stella"/>
    <s v="SBN01"/>
    <s v="SBN0112136843"/>
    <s v="Humana (Louisville)"/>
    <n v="111800022"/>
    <s v="Noriega, Stella"/>
    <s v="SBN01"/>
    <n v="-101.41"/>
    <n v="1"/>
    <x v="0"/>
    <x v="1"/>
  </r>
  <r>
    <x v="2"/>
    <x v="5"/>
    <x v="7"/>
    <n v="13378"/>
    <s v="OH"/>
    <n v="10084"/>
    <s v="MEDCENTRAL HEALTH SYSTEM"/>
    <s v="Noriega, Stella"/>
    <s v="SBN01"/>
    <s v="SBN0112140243"/>
    <s v="Humana (Louisville)"/>
    <n v="111800022"/>
    <s v="Noriega, Stella"/>
    <s v="SBN01"/>
    <n v="-136.63999999999999"/>
    <n v="1"/>
    <x v="0"/>
    <x v="1"/>
  </r>
  <r>
    <x v="2"/>
    <x v="5"/>
    <x v="7"/>
    <n v="13378"/>
    <s v="OH"/>
    <n v="10084"/>
    <s v="MEDCENTRAL HEALTH SYSTEM"/>
    <s v="Noriega, Stella"/>
    <s v="SBN01"/>
    <s v="SBN0112147754"/>
    <s v="Humana (Louisville)"/>
    <n v="111800022"/>
    <s v="Noriega, Stella"/>
    <s v="SBN01"/>
    <n v="-79.930000000000007"/>
    <n v="1"/>
    <x v="0"/>
    <x v="1"/>
  </r>
  <r>
    <x v="2"/>
    <x v="5"/>
    <x v="7"/>
    <n v="13378"/>
    <s v="OH"/>
    <n v="10084"/>
    <s v="MEDCENTRAL HEALTH SYSTEM"/>
    <s v="Noriega, Stella"/>
    <s v="SBN01"/>
    <s v="SBN0112151031"/>
    <s v="Humana (Louisville)"/>
    <n v="111800022"/>
    <s v="Noriega, Stella"/>
    <s v="SBN01"/>
    <n v="-69.849999999999994"/>
    <n v="1"/>
    <x v="0"/>
    <x v="1"/>
  </r>
  <r>
    <x v="2"/>
    <x v="5"/>
    <x v="7"/>
    <n v="13378"/>
    <s v="OH"/>
    <n v="10084"/>
    <s v="MEDCENTRAL HEALTH SYSTEM"/>
    <s v="Noriega, Stella"/>
    <s v="SBN01"/>
    <s v="SBN0112154031"/>
    <s v="UHC Affiliates (AARP)"/>
    <n v="211930001"/>
    <s v="Noriega, Stella"/>
    <s v="SBN01"/>
    <n v="-108.28"/>
    <n v="1"/>
    <x v="0"/>
    <x v="1"/>
  </r>
  <r>
    <x v="2"/>
    <x v="5"/>
    <x v="7"/>
    <n v="13378"/>
    <s v="OH"/>
    <n v="10084"/>
    <s v="MEDCENTRAL HEALTH SYSTEM"/>
    <s v="Noriega, Stella"/>
    <s v="SBN01"/>
    <s v="SBN0112153942"/>
    <s v="Humana (Louisville)"/>
    <n v="111800022"/>
    <s v="Noriega, Stella"/>
    <s v="SBN01"/>
    <n v="-60.7"/>
    <n v="1"/>
    <x v="0"/>
    <x v="1"/>
  </r>
  <r>
    <x v="1"/>
    <x v="1"/>
    <x v="1"/>
    <n v="40337"/>
    <s v="IL"/>
    <n v="26633"/>
    <s v="ADVOCATE CONDELL MEDICAL CENTER"/>
    <s v="Obnamia, Rachel"/>
    <s v="RCO01"/>
    <s v="RCO0112192165"/>
    <s v="UHC Affiliates (UMR (CPS))"/>
    <n v="211930002"/>
    <s v="Obnamia, Rachel"/>
    <s v="RCO01"/>
    <n v="-28660.12"/>
    <n v="1"/>
    <x v="0"/>
    <x v="1"/>
  </r>
  <r>
    <x v="1"/>
    <x v="1"/>
    <x v="1"/>
    <n v="40337"/>
    <s v="IL"/>
    <n v="26633"/>
    <s v="ADVOCATE CONDELL MEDICAL CENTER"/>
    <s v="Obnamia, Rachel"/>
    <s v="RCO01"/>
    <s v="RCO0112228542"/>
    <s v="Great-West Healthcare (Facets)"/>
    <n v="112090046"/>
    <s v="Obnamia, Rachel"/>
    <s v="RCO01"/>
    <n v="-865"/>
    <n v="1"/>
    <x v="0"/>
    <x v="1"/>
  </r>
  <r>
    <x v="1"/>
    <x v="1"/>
    <x v="1"/>
    <n v="40337"/>
    <s v="IL"/>
    <n v="26633"/>
    <s v="ADVOCATE CONDELL MEDICAL CENTER"/>
    <s v="Obnamia, Rachel"/>
    <s v="RCO01"/>
    <s v="RCO0112234548"/>
    <s v="UHC Affiliates (AARP)"/>
    <n v="211930001"/>
    <s v="Obnamia, Rachel"/>
    <s v="RCO01"/>
    <n v="-1316"/>
    <n v="1"/>
    <x v="0"/>
    <x v="1"/>
  </r>
  <r>
    <x v="1"/>
    <x v="1"/>
    <x v="1"/>
    <n v="40337"/>
    <s v="IL"/>
    <n v="26633"/>
    <s v="ADVOCATE CONDELL MEDICAL CENTER"/>
    <s v="Obnamia, Rachel"/>
    <s v="RCO01"/>
    <s v="RCO0112241674"/>
    <s v="CIGNA HealthCare - PROCLAIM (Primary)"/>
    <n v="144730001"/>
    <s v="Obnamia, Rachel"/>
    <s v="RCO01"/>
    <n v="-111.58"/>
    <n v="1"/>
    <x v="0"/>
    <x v="1"/>
  </r>
  <r>
    <x v="1"/>
    <x v="1"/>
    <x v="1"/>
    <n v="40337"/>
    <s v="IL"/>
    <n v="26633"/>
    <s v="ADVOCATE CONDELL MEDICAL CENTER"/>
    <s v="Obnamia, Rachel"/>
    <s v="RCO01"/>
    <s v="RCO0112241974"/>
    <s v="UnitedHealthcare (Secure Horizons - COSMOS)"/>
    <n v="400000097"/>
    <s v="Obnamia, Rachel"/>
    <s v="RCO01"/>
    <n v="-200.27"/>
    <n v="1"/>
    <x v="0"/>
    <x v="1"/>
  </r>
  <r>
    <x v="1"/>
    <x v="1"/>
    <x v="1"/>
    <n v="40337"/>
    <s v="IL"/>
    <n v="26633"/>
    <s v="ADVOCATE CONDELL MEDICAL CENTER"/>
    <s v="Obnamia, Rachel"/>
    <s v="RCO01"/>
    <s v="RCO0112245258"/>
    <s v="UHC Affiliates (UMR (CPS))"/>
    <n v="211930002"/>
    <s v="Obnamia, Rachel"/>
    <s v="RCO01"/>
    <n v="-145"/>
    <n v="1"/>
    <x v="0"/>
    <x v="1"/>
  </r>
  <r>
    <x v="1"/>
    <x v="1"/>
    <x v="1"/>
    <n v="40337"/>
    <s v="IL"/>
    <n v="45627"/>
    <s v="ADVOCATE ILLINOIS MASONIC MEDICAL CENTER"/>
    <s v="Obnamia, Rachel"/>
    <s v="RCO01"/>
    <s v="RCO0112231556"/>
    <s v="CIGNA HealthCare - PROCLAIM (Primary)"/>
    <n v="144730001"/>
    <s v="Obnamia, Rachel"/>
    <s v="RCO01"/>
    <n v="-345.14"/>
    <n v="1"/>
    <x v="0"/>
    <x v="1"/>
  </r>
  <r>
    <x v="1"/>
    <x v="1"/>
    <x v="1"/>
    <n v="40337"/>
    <s v="IL"/>
    <n v="45627"/>
    <s v="ADVOCATE ILLINOIS MASONIC MEDICAL CENTER"/>
    <s v="Obnamia, Rachel"/>
    <s v="RCO01"/>
    <s v="RCO0112231841"/>
    <s v="CIGNA HealthCare - PROCLAIM (Primary)"/>
    <n v="144730001"/>
    <s v="Obnamia, Rachel"/>
    <s v="RCO01"/>
    <n v="-285.12"/>
    <n v="1"/>
    <x v="0"/>
    <x v="1"/>
  </r>
  <r>
    <x v="1"/>
    <x v="1"/>
    <x v="1"/>
    <n v="40337"/>
    <s v="IL"/>
    <n v="45627"/>
    <s v="ADVOCATE ILLINOIS MASONIC MEDICAL CENTER"/>
    <s v="Obnamia, Rachel"/>
    <s v="RCO01"/>
    <s v="RCO0112232111"/>
    <s v="CIGNA HealthCare - PROCLAIM (Primary)"/>
    <n v="144730001"/>
    <s v="Obnamia, Rachel"/>
    <s v="RCO01"/>
    <n v="-213.84"/>
    <n v="1"/>
    <x v="0"/>
    <x v="1"/>
  </r>
  <r>
    <x v="1"/>
    <x v="1"/>
    <x v="5"/>
    <n v="13585"/>
    <s v="IL"/>
    <n v="13584"/>
    <s v="PH-COVENANT MEDICAL CENTER"/>
    <s v="Paras, Regienald"/>
    <s v="RMP01"/>
    <s v="RMP0112150063"/>
    <s v="Health Alliance Medical Plans (Primary)"/>
    <n v="115910001"/>
    <s v="Paras, Regienald"/>
    <s v="RMP01"/>
    <n v="-8450.08"/>
    <n v="1"/>
    <x v="0"/>
    <x v="1"/>
  </r>
  <r>
    <x v="1"/>
    <x v="1"/>
    <x v="5"/>
    <n v="13585"/>
    <s v="IL"/>
    <n v="85565"/>
    <s v="PH-ST. JOSEPH MEDICAL CENTER-JOLIET"/>
    <s v="Paras, Regienald"/>
    <s v="RMP01"/>
    <s v="RMP0112165373"/>
    <s v="Aetna - Traditional (Primary)"/>
    <n v="113700001"/>
    <s v="Paras, Regienald"/>
    <s v="RMP01"/>
    <n v="-4727.9799999999996"/>
    <n v="1"/>
    <x v="0"/>
    <x v="1"/>
  </r>
  <r>
    <x v="1"/>
    <x v="1"/>
    <x v="5"/>
    <n v="13585"/>
    <s v="IL"/>
    <n v="85565"/>
    <s v="PH-ST. JOSEPH MEDICAL CENTER-JOLIET"/>
    <s v="Paras, Regienald"/>
    <s v="RMP01"/>
    <s v="RMP0112219631"/>
    <s v="Humana (GB)"/>
    <n v="111800014"/>
    <s v="Paras, Regienald"/>
    <s v="RMP01"/>
    <n v="-510.3"/>
    <n v="1"/>
    <x v="0"/>
    <x v="1"/>
  </r>
  <r>
    <x v="1"/>
    <x v="1"/>
    <x v="5"/>
    <n v="13585"/>
    <s v="IL"/>
    <n v="11742"/>
    <s v="PH-ST. MARY'S HOSPITAL"/>
    <s v="Paras, Regienald"/>
    <s v="RMP01"/>
    <s v="RMP0112194314"/>
    <s v="Health Alliance Medical Plans (Primary)"/>
    <n v="115910001"/>
    <s v="Paras, Regienald"/>
    <s v="RMP01"/>
    <n v="-285.47000000000003"/>
    <n v="1"/>
    <x v="0"/>
    <x v="1"/>
  </r>
  <r>
    <x v="1"/>
    <x v="1"/>
    <x v="1"/>
    <n v="40337"/>
    <s v="IL"/>
    <n v="11662"/>
    <s v="ADVOCATE SOUTH SUBURBAN HOSPITAL"/>
    <s v="Parnazo, Charmaine joy"/>
    <s v="CCP01"/>
    <s v="CCP0112143364"/>
    <s v="SAMBA (Primary)"/>
    <n v="126140001"/>
    <s v="Parnazo, Charmaine joy"/>
    <s v="CCP01"/>
    <n v="-456.34"/>
    <n v="1"/>
    <x v="0"/>
    <x v="1"/>
  </r>
  <r>
    <x v="0"/>
    <x v="0"/>
    <x v="0"/>
    <n v="14323"/>
    <s v="MN"/>
    <n v="13604"/>
    <s v="MAYO CLINIC-FLORIDA PHYSICIANS"/>
    <s v="Pasaraba, Eileen"/>
    <s v="EXP01"/>
    <s v="EXP0112235902"/>
    <s v="UnitedHealthcare (UNET)"/>
    <n v="400000001"/>
    <s v="Pasaraba, Eileen"/>
    <s v="EXP01"/>
    <n v="-232"/>
    <n v="1"/>
    <x v="0"/>
    <x v="1"/>
  </r>
  <r>
    <x v="0"/>
    <x v="0"/>
    <x v="0"/>
    <n v="14323"/>
    <s v="MN"/>
    <n v="13604"/>
    <s v="MAYO CLINIC-FLORIDA PHYSICIANS"/>
    <s v="Pasaraba, Eileen"/>
    <s v="EXP01"/>
    <s v="EXP0112255402"/>
    <s v="Blue Cross Blue Shield of Florida (Diamond RETRACTION ONLY)"/>
    <n v="121770041"/>
    <s v="Pasaraba, Eileen"/>
    <s v="EXP01"/>
    <n v="-538.6"/>
    <n v="1"/>
    <x v="0"/>
    <x v="1"/>
  </r>
  <r>
    <x v="1"/>
    <x v="1"/>
    <x v="5"/>
    <n v="13585"/>
    <s v="IL"/>
    <n v="13584"/>
    <s v="PH-COVENANT MEDICAL CENTER"/>
    <s v="Quijano, Ronald paolo"/>
    <s v="RBQ01"/>
    <s v="RBQ0112194151"/>
    <s v="Health Alliance Medical Plans (Primary)"/>
    <n v="115910001"/>
    <s v="Quijano, Ronald paolo"/>
    <s v="RBQ01"/>
    <n v="-662.82"/>
    <n v="1"/>
    <x v="0"/>
    <x v="1"/>
  </r>
  <r>
    <x v="1"/>
    <x v="1"/>
    <x v="5"/>
    <n v="13585"/>
    <s v="IL"/>
    <n v="85565"/>
    <s v="PH-ST. JOSEPH MEDICAL CENTER-JOLIET"/>
    <s v="Quijano, Ronald paolo"/>
    <s v="RBQ01"/>
    <s v="RBQ0112209132"/>
    <s v="CIGNA HealthCare - PROCLAIM (Primary)"/>
    <n v="144730001"/>
    <s v="Quijano, Ronald paolo"/>
    <s v="RBQ01"/>
    <n v="-222.46"/>
    <n v="1"/>
    <x v="0"/>
    <x v="1"/>
  </r>
  <r>
    <x v="2"/>
    <x v="7"/>
    <x v="9"/>
    <n v="14825"/>
    <s v="TX"/>
    <n v="54774"/>
    <s v="UT SOUTHWESTERN-ZALE LIPSHY UNIV HOSP"/>
    <s v="Quinagutan, Tiomedes"/>
    <s v="TGQ01"/>
    <s v="TGQ0110778346"/>
    <s v="Blue Cross Blue Shield of Texas (UT (TX))"/>
    <n v="113660019"/>
    <s v="Quinagutan, Tiomedes"/>
    <s v="TGQ01"/>
    <n v="-75.53"/>
    <n v="1"/>
    <x v="0"/>
    <x v="1"/>
  </r>
  <r>
    <x v="2"/>
    <x v="7"/>
    <x v="9"/>
    <n v="14825"/>
    <s v="TX"/>
    <n v="40786"/>
    <s v="WILLIAM P CLEMENTS JR UNIV HOSP"/>
    <s v="Quinagutan, Tiomedes"/>
    <s v="TGQ01"/>
    <s v="TGQ0110683900"/>
    <s v="Aetna - Traditional (Primary)"/>
    <n v="113700001"/>
    <s v="Quinagutan, Tiomedes"/>
    <s v="TGQ01"/>
    <n v="-844.36"/>
    <n v="1"/>
    <x v="0"/>
    <x v="1"/>
  </r>
  <r>
    <x v="2"/>
    <x v="7"/>
    <x v="9"/>
    <n v="14825"/>
    <s v="TX"/>
    <n v="40786"/>
    <s v="WILLIAM P CLEMENTS JR UNIV HOSP"/>
    <s v="Quinagutan, Tiomedes"/>
    <s v="TGQ01"/>
    <s v="TGQ0110774271"/>
    <s v="Blue Cross Blue Shield of Texas (In State (TX))"/>
    <n v="113660010"/>
    <s v="Quinagutan, Tiomedes"/>
    <s v="TGQ01"/>
    <n v="-1138.1099999999999"/>
    <n v="1"/>
    <x v="0"/>
    <x v="1"/>
  </r>
  <r>
    <x v="2"/>
    <x v="7"/>
    <x v="9"/>
    <n v="14825"/>
    <s v="TX"/>
    <n v="40786"/>
    <s v="WILLIAM P CLEMENTS JR UNIV HOSP"/>
    <s v="Quinagutan, Tiomedes"/>
    <s v="TGQ01"/>
    <s v="TGQ0110778186"/>
    <s v="UnitedHealthcare (UNET)"/>
    <n v="400000001"/>
    <s v="Quinagutan, Tiomedes"/>
    <s v="TGQ01"/>
    <n v="-1018.51"/>
    <n v="1"/>
    <x v="0"/>
    <x v="1"/>
  </r>
  <r>
    <x v="2"/>
    <x v="7"/>
    <x v="9"/>
    <n v="14825"/>
    <s v="TX"/>
    <n v="40786"/>
    <s v="WILLIAM P CLEMENTS JR UNIV HOSP"/>
    <s v="Quinagutan, Tiomedes"/>
    <s v="TGQ01"/>
    <s v="TGQ0110781742"/>
    <s v="Blue Cross Blue Shield of Texas (ASO Groups (TX))"/>
    <n v="113660011"/>
    <s v="Quinagutan, Tiomedes"/>
    <s v="TGQ01"/>
    <n v="-60"/>
    <n v="1"/>
    <x v="0"/>
    <x v="1"/>
  </r>
  <r>
    <x v="2"/>
    <x v="7"/>
    <x v="9"/>
    <n v="14825"/>
    <s v="TX"/>
    <n v="40786"/>
    <s v="WILLIAM P CLEMENTS JR UNIV HOSP"/>
    <s v="Quinagutan, Tiomedes"/>
    <s v="TGQ01"/>
    <s v="TGQ0110781808"/>
    <s v="Blue Cross Blue Shield of Texas (TX Host)"/>
    <n v="113660021"/>
    <s v="Quinagutan, Tiomedes"/>
    <s v="TGQ01"/>
    <n v="-1138.1099999999999"/>
    <n v="1"/>
    <x v="0"/>
    <x v="1"/>
  </r>
  <r>
    <x v="0"/>
    <x v="0"/>
    <x v="0"/>
    <n v="14323"/>
    <s v="MN"/>
    <n v="12531"/>
    <s v="MAYO CLINIC-ROCHESTER PHYSICIANS"/>
    <s v="Rances, Jeramie"/>
    <s v="JTR02"/>
    <s v="JTR0212237877"/>
    <s v="UHC Affiliates (UMR (CPS))"/>
    <n v="211930002"/>
    <s v="Rances, Jeramie"/>
    <s v="JTR02"/>
    <n v="-383.43"/>
    <n v="1"/>
    <x v="0"/>
    <x v="1"/>
  </r>
  <r>
    <x v="1"/>
    <x v="1"/>
    <x v="1"/>
    <n v="40337"/>
    <s v="IL"/>
    <n v="12942"/>
    <s v="ADVOCATE LUTHERAN GENERAL HOSPITAL"/>
    <s v="Reyes, Jamaica"/>
    <s v="JNR01"/>
    <s v="JNR0112244848"/>
    <s v="Mutual of Omaha (Individual Claims Omaha)"/>
    <n v="120680005"/>
    <s v="Reyes, Jamaica"/>
    <s v="JNR01"/>
    <n v="-60.01"/>
    <n v="1"/>
    <x v="0"/>
    <x v="1"/>
  </r>
  <r>
    <x v="0"/>
    <x v="0"/>
    <x v="0"/>
    <n v="14323"/>
    <s v="MN"/>
    <n v="12531"/>
    <s v="MAYO CLINIC-ROCHESTER PHYSICIANS"/>
    <s v="Rodriguez, Kristoffer"/>
    <s v="KCR01"/>
    <s v="KCR0112245374"/>
    <s v="Blue Cross Blue Shield of Minnesota (ITS-HOST (Highmark))"/>
    <n v="122920048"/>
    <s v="Rodriguez, Kristoffer"/>
    <s v="KCR01"/>
    <n v="-575.04999999999995"/>
    <n v="1"/>
    <x v="0"/>
    <x v="1"/>
  </r>
  <r>
    <x v="0"/>
    <x v="0"/>
    <x v="0"/>
    <n v="14323"/>
    <s v="MN"/>
    <n v="10609"/>
    <s v="MAYO CLINIC-ROCHESTER METHODIST HOSPITAL"/>
    <s v="Santos, Hershey"/>
    <s v="HXS02"/>
    <s v="HXS0212246137"/>
    <s v="UnitedHealthcare (UNET)"/>
    <n v="400000001"/>
    <s v="Santos, Hershey"/>
    <s v="HXS02"/>
    <n v="-3832.91"/>
    <n v="1"/>
    <x v="0"/>
    <x v="1"/>
  </r>
  <r>
    <x v="0"/>
    <x v="0"/>
    <x v="0"/>
    <n v="14323"/>
    <s v="MN"/>
    <n v="12531"/>
    <s v="MAYO CLINIC-ROCHESTER PHYSICIANS"/>
    <s v="Santos, Hershey"/>
    <s v="HXS02"/>
    <s v="HXS0212127523"/>
    <s v="Blue Cross Blue Shield of Minnesota (ITS-HOST (Highmark))"/>
    <n v="122920048"/>
    <s v="Santos, Hershey"/>
    <s v="HXS02"/>
    <n v="-4421.01"/>
    <n v="1"/>
    <x v="0"/>
    <x v="1"/>
  </r>
  <r>
    <x v="0"/>
    <x v="0"/>
    <x v="0"/>
    <n v="14323"/>
    <s v="MN"/>
    <n v="12531"/>
    <s v="MAYO CLINIC-ROCHESTER PHYSICIANS"/>
    <s v="Santos, Hershey"/>
    <s v="HXS02"/>
    <s v="HXS0212127513"/>
    <s v="Blue Cross Blue Shield of Minnesota (ITS-HOST (Highmark))"/>
    <n v="122920048"/>
    <s v="Santos, Hershey"/>
    <s v="HXS02"/>
    <n v="-17684.009999999998"/>
    <n v="1"/>
    <x v="0"/>
    <x v="1"/>
  </r>
  <r>
    <x v="0"/>
    <x v="0"/>
    <x v="0"/>
    <n v="14323"/>
    <s v="MN"/>
    <n v="12531"/>
    <s v="MAYO CLINIC-ROCHESTER PHYSICIANS"/>
    <s v="Santos, Hershey"/>
    <s v="HXS02"/>
    <s v="HXS0212246116"/>
    <s v="UnitedHealthcare (UNET)"/>
    <n v="400000001"/>
    <s v="Santos, Hershey"/>
    <s v="HXS02"/>
    <n v="-165.3"/>
    <n v="1"/>
    <x v="0"/>
    <x v="1"/>
  </r>
  <r>
    <x v="0"/>
    <x v="0"/>
    <x v="0"/>
    <n v="14323"/>
    <s v="MN"/>
    <n v="12531"/>
    <s v="MAYO CLINIC-ROCHESTER PHYSICIANS"/>
    <s v="Santos, Hershey"/>
    <s v="HXS02"/>
    <s v="HXS0212246110"/>
    <s v="UnitedHealthcare (UNET)"/>
    <n v="400000001"/>
    <s v="Santos, Hershey"/>
    <s v="HXS02"/>
    <n v="-514.04999999999995"/>
    <n v="1"/>
    <x v="0"/>
    <x v="1"/>
  </r>
  <r>
    <x v="0"/>
    <x v="0"/>
    <x v="0"/>
    <n v="14323"/>
    <s v="MN"/>
    <n v="12531"/>
    <s v="MAYO CLINIC-ROCHESTER PHYSICIANS"/>
    <s v="Santos, Hershey"/>
    <s v="HXS02"/>
    <s v="HXS0212246070"/>
    <s v="UnitedHealthcare (UNET)"/>
    <n v="400000001"/>
    <s v="Santos, Hershey"/>
    <s v="HXS02"/>
    <n v="-3044.34"/>
    <n v="1"/>
    <x v="0"/>
    <x v="1"/>
  </r>
  <r>
    <x v="0"/>
    <x v="0"/>
    <x v="0"/>
    <n v="14323"/>
    <s v="MN"/>
    <n v="95505"/>
    <s v="MAYO CLINIC-ST. MARY'S HOSP OF ROCHESTER"/>
    <s v="Santos, Hershey"/>
    <s v="HXS02"/>
    <s v="HXS0212236060"/>
    <s v="Blue Cross Blue Shield of Minnesota (ITS-HOST (Highmark))"/>
    <n v="122920048"/>
    <s v="Santos, Hershey"/>
    <s v="HXS02"/>
    <n v="-66642.86"/>
    <n v="1"/>
    <x v="0"/>
    <x v="1"/>
  </r>
  <r>
    <x v="0"/>
    <x v="0"/>
    <x v="0"/>
    <n v="14323"/>
    <s v="MN"/>
    <n v="95505"/>
    <s v="MAYO CLINIC-ST. MARY'S HOSP OF ROCHESTER"/>
    <s v="Santos, Hershey"/>
    <s v="HXS02"/>
    <s v="HXS0212246143"/>
    <s v="UnitedHealthcare (UNET)"/>
    <n v="400000001"/>
    <s v="Santos, Hershey"/>
    <s v="HXS02"/>
    <n v="-2394.5"/>
    <n v="1"/>
    <x v="0"/>
    <x v="1"/>
  </r>
  <r>
    <x v="1"/>
    <x v="1"/>
    <x v="1"/>
    <n v="40337"/>
    <s v="IL"/>
    <n v="45627"/>
    <s v="ADVOCATE ILLINOIS MASONIC MEDICAL CENTER"/>
    <s v="Toribio, Ma"/>
    <s v="MRT02"/>
    <s v="MRT0212213353"/>
    <s v="Great-West Healthcare (Facets)"/>
    <n v="112090046"/>
    <s v="Toribio, Ma"/>
    <s v="MRT02"/>
    <n v="-68.069999999999993"/>
    <n v="1"/>
    <x v="0"/>
    <x v="1"/>
  </r>
  <r>
    <x v="1"/>
    <x v="1"/>
    <x v="1"/>
    <n v="40337"/>
    <s v="IL"/>
    <n v="45627"/>
    <s v="ADVOCATE ILLINOIS MASONIC MEDICAL CENTER"/>
    <s v="Toribio, Ma"/>
    <s v="MRT02"/>
    <s v="MRT0212215110"/>
    <s v="CIGNA HealthCare - PROCLAIM (Primary)"/>
    <n v="144730001"/>
    <s v="Toribio, Ma"/>
    <s v="MRT02"/>
    <n v="-93.96"/>
    <n v="1"/>
    <x v="0"/>
    <x v="1"/>
  </r>
  <r>
    <x v="1"/>
    <x v="1"/>
    <x v="1"/>
    <n v="40337"/>
    <s v="IL"/>
    <n v="45627"/>
    <s v="ADVOCATE ILLINOIS MASONIC MEDICAL CENTER"/>
    <s v="Toribio, Ma"/>
    <s v="MRT02"/>
    <s v="MRT0212215551"/>
    <s v="CIGNA HealthCare - PROCLAIM (Primary)"/>
    <n v="144730001"/>
    <s v="Toribio, Ma"/>
    <s v="MRT02"/>
    <n v="-184.68"/>
    <n v="1"/>
    <x v="0"/>
    <x v="1"/>
  </r>
  <r>
    <x v="1"/>
    <x v="1"/>
    <x v="1"/>
    <n v="40337"/>
    <s v="IL"/>
    <n v="45627"/>
    <s v="ADVOCATE ILLINOIS MASONIC MEDICAL CENTER"/>
    <s v="Toribio, Ma"/>
    <s v="MRT02"/>
    <s v="MRT0212215897"/>
    <s v="CIGNA HealthCare - PROCLAIM (Primary)"/>
    <n v="144730001"/>
    <s v="Toribio, Ma"/>
    <s v="MRT02"/>
    <n v="-93.96"/>
    <n v="1"/>
    <x v="0"/>
    <x v="1"/>
  </r>
  <r>
    <x v="1"/>
    <x v="1"/>
    <x v="1"/>
    <n v="40337"/>
    <s v="IL"/>
    <n v="45627"/>
    <s v="ADVOCATE ILLINOIS MASONIC MEDICAL CENTER"/>
    <s v="Toribio, Ma"/>
    <s v="MRT02"/>
    <s v="MRT0212221426"/>
    <s v="CIGNA HealthCare - PROCLAIM (Primary)"/>
    <n v="144730001"/>
    <s v="Toribio, Ma"/>
    <s v="MRT02"/>
    <n v="-134.4"/>
    <n v="1"/>
    <x v="0"/>
    <x v="1"/>
  </r>
  <r>
    <x v="1"/>
    <x v="1"/>
    <x v="1"/>
    <n v="40337"/>
    <s v="IL"/>
    <n v="45627"/>
    <s v="ADVOCATE ILLINOIS MASONIC MEDICAL CENTER"/>
    <s v="Toribio, Ma"/>
    <s v="MRT02"/>
    <s v="MRT0212235368"/>
    <s v="CIGNA HealthCare - PROCLAIM (Primary)"/>
    <n v="144730001"/>
    <s v="Toribio, Ma"/>
    <s v="MRT02"/>
    <n v="-68.400000000000006"/>
    <n v="1"/>
    <x v="0"/>
    <x v="1"/>
  </r>
  <r>
    <x v="1"/>
    <x v="1"/>
    <x v="1"/>
    <n v="40337"/>
    <s v="IL"/>
    <n v="45627"/>
    <s v="ADVOCATE ILLINOIS MASONIC MEDICAL CENTER"/>
    <s v="Toribio, Ma"/>
    <s v="MRT02"/>
    <s v="MRT0212239306"/>
    <s v="CIGNA HealthCare - PROCLAIM (Primary)"/>
    <n v="144730001"/>
    <s v="Toribio, Ma"/>
    <s v="MRT02"/>
    <n v="-211.97"/>
    <n v="1"/>
    <x v="0"/>
    <x v="1"/>
  </r>
  <r>
    <x v="1"/>
    <x v="1"/>
    <x v="1"/>
    <n v="40337"/>
    <s v="IL"/>
    <n v="45627"/>
    <s v="ADVOCATE ILLINOIS MASONIC MEDICAL CENTER"/>
    <s v="Toribio, Ma"/>
    <s v="MRT02"/>
    <s v="MRT0212239473"/>
    <s v="CIGNA HealthCare - PROCLAIM (Primary)"/>
    <n v="144730001"/>
    <s v="Toribio, Ma"/>
    <s v="MRT02"/>
    <n v="-158.97999999999999"/>
    <n v="1"/>
    <x v="0"/>
    <x v="1"/>
  </r>
  <r>
    <x v="1"/>
    <x v="1"/>
    <x v="1"/>
    <n v="40337"/>
    <s v="IL"/>
    <n v="45627"/>
    <s v="ADVOCATE ILLINOIS MASONIC MEDICAL CENTER"/>
    <s v="Toribio, Ma"/>
    <s v="MRT02"/>
    <s v="MRT0212242303"/>
    <s v="G.E.H.A. (GEHA)"/>
    <n v="124660001"/>
    <s v="Toribio, Ma"/>
    <s v="MRT02"/>
    <n v="-1118.75"/>
    <n v="1"/>
    <x v="0"/>
    <x v="1"/>
  </r>
  <r>
    <x v="1"/>
    <x v="1"/>
    <x v="1"/>
    <n v="40337"/>
    <s v="IL"/>
    <n v="45627"/>
    <s v="ADVOCATE ILLINOIS MASONIC MEDICAL CENTER"/>
    <s v="Toribio, Ma"/>
    <s v="MRT02"/>
    <s v="MRT0212246034"/>
    <s v="Liberty Mutual (Worker's Comp.)"/>
    <n v="113780002"/>
    <s v="Toribio, Ma"/>
    <s v="MRT02"/>
    <n v="-5475.61"/>
    <n v="1"/>
    <x v="0"/>
    <x v="1"/>
  </r>
  <r>
    <x v="1"/>
    <x v="1"/>
    <x v="10"/>
    <n v="40575"/>
    <s v="IL"/>
    <n v="10719"/>
    <s v="CENTRAL DUPAGE HOSPITAL"/>
    <s v="Toribio, Ma"/>
    <s v="MRT02"/>
    <s v="MRT0211608213"/>
    <s v="UnitedHealthcare (UNET)"/>
    <n v="400000001"/>
    <s v="Toribio, Ma"/>
    <s v="MRT02"/>
    <n v="-79.2"/>
    <n v="1"/>
    <x v="0"/>
    <x v="1"/>
  </r>
  <r>
    <x v="1"/>
    <x v="1"/>
    <x v="1"/>
    <n v="40337"/>
    <s v="IL"/>
    <n v="12103"/>
    <s v="ADVOCATE GOOD SAMARITAN HOSPITAL"/>
    <s v="Valenzuela, Rowena"/>
    <s v="RTV02"/>
    <s v="RTV0212092175"/>
    <s v="Humana (Louisville)"/>
    <n v="111800022"/>
    <s v="Valenzuela, Rowena"/>
    <s v="RTV02"/>
    <n v="-68.540000000000006"/>
    <n v="1"/>
    <x v="0"/>
    <x v="1"/>
  </r>
  <r>
    <x v="1"/>
    <x v="1"/>
    <x v="1"/>
    <n v="40337"/>
    <s v="IL"/>
    <n v="12103"/>
    <s v="ADVOCATE GOOD SAMARITAN HOSPITAL"/>
    <s v="Valenzuela, Rowena"/>
    <s v="RTV02"/>
    <s v="RTV0212155498"/>
    <s v="CIGNA HealthCare - PROCLAIM (Primary)"/>
    <n v="144730001"/>
    <s v="Valenzuela, Rowena"/>
    <s v="RTV02"/>
    <n v="-931.6"/>
    <n v="1"/>
    <x v="0"/>
    <x v="1"/>
  </r>
  <r>
    <x v="1"/>
    <x v="1"/>
    <x v="1"/>
    <n v="40337"/>
    <s v="IL"/>
    <n v="12942"/>
    <s v="ADVOCATE LUTHERAN GENERAL HOSPITAL"/>
    <s v="Valenzuela, Rowena"/>
    <s v="RTV02"/>
    <s v="RTV0212232214"/>
    <s v="AvMed (Primary)"/>
    <n v="112270002"/>
    <s v="Valenzuela, Rowena"/>
    <s v="RTV02"/>
    <n v="-6241.2"/>
    <n v="1"/>
    <x v="0"/>
    <x v="1"/>
  </r>
  <r>
    <x v="1"/>
    <x v="1"/>
    <x v="1"/>
    <n v="40337"/>
    <s v="IL"/>
    <n v="12942"/>
    <s v="ADVOCATE LUTHERAN GENERAL HOSPITAL"/>
    <s v="Valenzuela, Rowena"/>
    <s v="RTV02"/>
    <s v="RTV0212235489"/>
    <s v="Humana (ASO)"/>
    <n v="111800030"/>
    <s v="Valenzuela, Rowena"/>
    <s v="RTV02"/>
    <n v="-313.42"/>
    <n v="1"/>
    <x v="0"/>
    <x v="1"/>
  </r>
  <r>
    <x v="1"/>
    <x v="1"/>
    <x v="1"/>
    <n v="40337"/>
    <s v="IL"/>
    <n v="12942"/>
    <s v="ADVOCATE LUTHERAN GENERAL HOSPITAL"/>
    <s v="Valenzuela, Rowena"/>
    <s v="RTV02"/>
    <s v="RTV0212242377"/>
    <s v="UnitedHealthcare (UNET)"/>
    <n v="400000001"/>
    <s v="Valenzuela, Rowena"/>
    <s v="RTV02"/>
    <n v="-68.260000000000005"/>
    <n v="1"/>
    <x v="0"/>
    <x v="1"/>
  </r>
  <r>
    <x v="1"/>
    <x v="1"/>
    <x v="10"/>
    <n v="40575"/>
    <s v="IL"/>
    <n v="11357"/>
    <s v="KISHWAUKEE COMMUNITY HOSPITAL"/>
    <s v="Valenzuela, Rowena"/>
    <s v="RTV02"/>
    <s v="RTV0211629825"/>
    <s v="UnitedHealthcare (UNET)"/>
    <n v="400000001"/>
    <s v="Valenzuela, Rowena"/>
    <s v="RTV02"/>
    <n v="-267.18"/>
    <n v="1"/>
    <x v="0"/>
    <x v="1"/>
  </r>
  <r>
    <x v="0"/>
    <x v="0"/>
    <x v="0"/>
    <n v="14323"/>
    <s v="MN"/>
    <n v="12531"/>
    <s v="MAYO CLINIC-ROCHESTER PHYSICIANS"/>
    <s v="Vergara, Reymark"/>
    <s v="RFV02"/>
    <s v="RFV0212222764"/>
    <s v="HealthPartners  (MN) (Primary)"/>
    <n v="143250002"/>
    <s v="Vergara, Reymark"/>
    <s v="RFV02"/>
    <n v="-143.57"/>
    <n v="1"/>
    <x v="0"/>
    <x v="1"/>
  </r>
  <r>
    <x v="0"/>
    <x v="0"/>
    <x v="0"/>
    <n v="14323"/>
    <s v="MN"/>
    <n v="12531"/>
    <s v="MAYO CLINIC-ROCHESTER PHYSICIANS"/>
    <s v="Vergara, Reymark"/>
    <s v="RFV02"/>
    <s v="RFV0212222824"/>
    <s v="HealthPartners  (MN) (Primary)"/>
    <n v="143250002"/>
    <s v="Vergara, Reymark"/>
    <s v="RFV02"/>
    <n v="-285.11"/>
    <n v="1"/>
    <x v="0"/>
    <x v="1"/>
  </r>
  <r>
    <x v="0"/>
    <x v="0"/>
    <x v="0"/>
    <n v="14323"/>
    <s v="MN"/>
    <n v="12531"/>
    <s v="MAYO CLINIC-ROCHESTER PHYSICIANS"/>
    <s v="Vergara, Reymark"/>
    <s v="RFV02"/>
    <s v="RFV0212222813"/>
    <s v="HealthPartners  (MN) (Primary)"/>
    <n v="143250002"/>
    <s v="Vergara, Reymark"/>
    <s v="RFV02"/>
    <n v="-193.3"/>
    <n v="1"/>
    <x v="0"/>
    <x v="1"/>
  </r>
  <r>
    <x v="0"/>
    <x v="0"/>
    <x v="0"/>
    <n v="14323"/>
    <s v="MN"/>
    <n v="12531"/>
    <s v="MAYO CLINIC-ROCHESTER PHYSICIANS"/>
    <s v="Vergara, Reymark"/>
    <s v="RFV02"/>
    <s v="RFV0212222799"/>
    <s v="HealthPartners  (MN) (Primary)"/>
    <n v="143250002"/>
    <s v="Vergara, Reymark"/>
    <s v="RFV02"/>
    <n v="-232.75"/>
    <n v="1"/>
    <x v="0"/>
    <x v="1"/>
  </r>
  <r>
    <x v="0"/>
    <x v="0"/>
    <x v="0"/>
    <n v="14323"/>
    <s v="MN"/>
    <n v="12531"/>
    <s v="MAYO CLINIC-ROCHESTER PHYSICIANS"/>
    <s v="Vergara, Reymark"/>
    <s v="RFV02"/>
    <s v="RFV0212222787"/>
    <s v="HealthPartners  (MN) (Primary)"/>
    <n v="143250002"/>
    <s v="Vergara, Reymark"/>
    <s v="RFV02"/>
    <n v="-548.29999999999995"/>
    <n v="1"/>
    <x v="0"/>
    <x v="1"/>
  </r>
  <r>
    <x v="0"/>
    <x v="0"/>
    <x v="0"/>
    <n v="14323"/>
    <s v="MN"/>
    <n v="12531"/>
    <s v="MAYO CLINIC-ROCHESTER PHYSICIANS"/>
    <s v="Vergara, Reymark"/>
    <s v="RFV02"/>
    <s v="RFV0212237840"/>
    <s v="UnitedHealthcare (UNET)"/>
    <n v="400000001"/>
    <s v="Vergara, Reymark"/>
    <s v="RFV02"/>
    <n v="-715.08"/>
    <n v="1"/>
    <x v="0"/>
    <x v="1"/>
  </r>
  <r>
    <x v="0"/>
    <x v="0"/>
    <x v="0"/>
    <n v="14323"/>
    <s v="MN"/>
    <n v="12531"/>
    <s v="MAYO CLINIC-ROCHESTER PHYSICIANS"/>
    <s v="Vergara, Reymark"/>
    <s v="RFV02"/>
    <s v="RFV0212241329"/>
    <s v="UnitedHealthcare (UNET)"/>
    <n v="400000001"/>
    <s v="Vergara, Reymark"/>
    <s v="RFV02"/>
    <n v="-2164.67"/>
    <n v="1"/>
    <x v="0"/>
    <x v="1"/>
  </r>
  <r>
    <x v="0"/>
    <x v="0"/>
    <x v="0"/>
    <n v="14323"/>
    <s v="MN"/>
    <n v="12531"/>
    <s v="MAYO CLINIC-ROCHESTER PHYSICIANS"/>
    <s v="Vergara, Reymark"/>
    <s v="RFV02"/>
    <s v="RFV0212241461"/>
    <s v="UnitedHealthcare (UNET)"/>
    <n v="400000001"/>
    <s v="Vergara, Reymark"/>
    <s v="RFV02"/>
    <n v="-177.85"/>
    <n v="1"/>
    <x v="0"/>
    <x v="1"/>
  </r>
  <r>
    <x v="0"/>
    <x v="0"/>
    <x v="0"/>
    <n v="14323"/>
    <s v="MN"/>
    <n v="12531"/>
    <s v="MAYO CLINIC-ROCHESTER PHYSICIANS"/>
    <s v="Vergara, Reymark"/>
    <s v="RFV02"/>
    <s v="RFV0212241435"/>
    <s v="UnitedHealthcare (UNET)"/>
    <n v="400000001"/>
    <s v="Vergara, Reymark"/>
    <s v="RFV02"/>
    <n v="-159.72999999999999"/>
    <n v="1"/>
    <x v="0"/>
    <x v="1"/>
  </r>
  <r>
    <x v="0"/>
    <x v="0"/>
    <x v="0"/>
    <n v="14323"/>
    <s v="MN"/>
    <n v="12531"/>
    <s v="MAYO CLINIC-ROCHESTER PHYSICIANS"/>
    <s v="Vergara, Reymark"/>
    <s v="RFV02"/>
    <s v="RFV0212241405"/>
    <s v="UnitedHealthcare (UNET)"/>
    <n v="400000001"/>
    <s v="Vergara, Reymark"/>
    <s v="RFV02"/>
    <n v="-155.63"/>
    <n v="1"/>
    <x v="0"/>
    <x v="1"/>
  </r>
  <r>
    <x v="0"/>
    <x v="0"/>
    <x v="0"/>
    <n v="14323"/>
    <s v="MN"/>
    <n v="12531"/>
    <s v="MAYO CLINIC-ROCHESTER PHYSICIANS"/>
    <s v="Vergara, Reymark"/>
    <s v="RFV02"/>
    <s v="RFV0212237881"/>
    <s v="UnitedHealthcare (UNET)"/>
    <n v="400000001"/>
    <s v="Vergara, Reymark"/>
    <s v="RFV02"/>
    <n v="-74.209999999999994"/>
    <n v="1"/>
    <x v="0"/>
    <x v="1"/>
  </r>
  <r>
    <x v="1"/>
    <x v="1"/>
    <x v="1"/>
    <n v="40337"/>
    <s v="IL"/>
    <n v="12103"/>
    <s v="ADVOCATE GOOD SAMARITAN HOSPITAL"/>
    <s v="Yecla, Jennifer"/>
    <s v="JBY02"/>
    <s v="JBY0212194356"/>
    <s v="UnitedHealthcare (UNET)"/>
    <n v="400000001"/>
    <s v="Yecla, Jennifer"/>
    <s v="JBY02"/>
    <n v="-1568.1"/>
    <n v="1"/>
    <x v="0"/>
    <x v="1"/>
  </r>
  <r>
    <x v="1"/>
    <x v="1"/>
    <x v="1"/>
    <n v="40337"/>
    <s v="IL"/>
    <n v="11581"/>
    <s v="ADVOCATE GOOD SHEPHERD HOSPITAL"/>
    <s v="Yecla, Jennifer"/>
    <s v="JBY02"/>
    <s v="JBY0212231721"/>
    <s v="UHC Affiliates (AARP)"/>
    <n v="211930001"/>
    <s v="Yecla, Jennifer"/>
    <s v="JBY02"/>
    <n v="-68.760000000000005"/>
    <n v="1"/>
    <x v="0"/>
    <x v="1"/>
  </r>
  <r>
    <x v="1"/>
    <x v="1"/>
    <x v="1"/>
    <n v="40337"/>
    <s v="IL"/>
    <n v="11581"/>
    <s v="ADVOCATE GOOD SHEPHERD HOSPITAL"/>
    <s v="Yecla, Jennifer"/>
    <s v="JBY02"/>
    <s v="JBY0212232036"/>
    <s v="UHC Affiliates (AARP)"/>
    <n v="211930001"/>
    <s v="Yecla, Jennifer"/>
    <s v="JBY02"/>
    <n v="-96.06"/>
    <n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OGS Pivot" cacheId="4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4" indent="0" outline="1" outlineData="1" multipleFieldFilters="0">
  <location ref="A1:C27" firstHeaderRow="1" firstDataRow="3" firstDataCol="1"/>
  <pivotFields count="18">
    <pivotField axis="axisRow" showAll="0" defaultSubtotal="0">
      <items count="4">
        <item x="1"/>
        <item x="3"/>
        <item x="2"/>
        <item x="0"/>
      </items>
    </pivotField>
    <pivotField axis="axisRow" showAll="0" defaultSubtotal="0">
      <items count="8">
        <item x="1"/>
        <item x="6"/>
        <item x="7"/>
        <item x="4"/>
        <item x="3"/>
        <item x="5"/>
        <item x="2"/>
        <item x="0"/>
      </items>
    </pivotField>
    <pivotField axis="axisRow" showAll="0" defaultSubtotal="0">
      <items count="11">
        <item x="1"/>
        <item x="3"/>
        <item x="4"/>
        <item x="2"/>
        <item x="6"/>
        <item x="0"/>
        <item x="10"/>
        <item x="7"/>
        <item x="5"/>
        <item x="8"/>
        <item x="9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dataField="1" numFmtId="8" showAll="0"/>
    <pivotField showAll="0"/>
    <pivotField axis="axisCol" showAll="0" defaultSubtotal="0">
      <items count="1">
        <item n=" " x="0"/>
      </items>
    </pivotField>
    <pivotField axis="axisCol" showAll="0" defaultSubtotal="0">
      <items count="2">
        <item x="0"/>
        <item x="1"/>
      </items>
    </pivotField>
  </pivotFields>
  <rowFields count="3">
    <field x="0"/>
    <field x="1"/>
    <field x="2"/>
  </rowFields>
  <rowItems count="24">
    <i>
      <x/>
    </i>
    <i r="1">
      <x/>
    </i>
    <i r="2">
      <x/>
    </i>
    <i r="2">
      <x v="6"/>
    </i>
    <i r="2">
      <x v="8"/>
    </i>
    <i r="1">
      <x v="3"/>
    </i>
    <i r="2">
      <x v="4"/>
    </i>
    <i>
      <x v="1"/>
    </i>
    <i r="1">
      <x v="1"/>
    </i>
    <i r="2">
      <x v="9"/>
    </i>
    <i>
      <x v="2"/>
    </i>
    <i r="1">
      <x v="2"/>
    </i>
    <i r="2">
      <x v="10"/>
    </i>
    <i r="1">
      <x v="5"/>
    </i>
    <i r="2">
      <x v="7"/>
    </i>
    <i r="1">
      <x v="6"/>
    </i>
    <i r="2">
      <x v="3"/>
    </i>
    <i>
      <x v="3"/>
    </i>
    <i r="1">
      <x v="4"/>
    </i>
    <i r="2">
      <x v="1"/>
    </i>
    <i r="2">
      <x v="2"/>
    </i>
    <i r="1">
      <x v="7"/>
    </i>
    <i r="2">
      <x v="5"/>
    </i>
    <i t="grand">
      <x/>
    </i>
  </rowItems>
  <colFields count="2">
    <field x="16"/>
    <field x="17"/>
  </colFields>
  <colItems count="2">
    <i>
      <x/>
      <x/>
    </i>
    <i r="1">
      <x v="1"/>
    </i>
  </colItems>
  <dataFields count="1">
    <dataField name="Sum of Net Payment Amt" fld="14" baseField="0" baseItem="0" numFmtId="8"/>
  </dataFields>
  <formats count="5">
    <format dxfId="4">
      <pivotArea outline="0" collapsedLevelsAreSubtotals="1" fieldPosition="0"/>
    </format>
    <format dxfId="3">
      <pivotArea field="16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16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"/>
  <sheetViews>
    <sheetView tabSelected="1" zoomScale="85" zoomScaleNormal="85" workbookViewId="0">
      <selection activeCell="A2" sqref="A2"/>
    </sheetView>
  </sheetViews>
  <sheetFormatPr defaultRowHeight="15" x14ac:dyDescent="0.25"/>
  <cols>
    <col min="3" max="3" width="28.140625" customWidth="1"/>
    <col min="4" max="5" width="14" bestFit="1" customWidth="1"/>
    <col min="7" max="7" width="36.28515625" customWidth="1"/>
    <col min="8" max="8" width="16.85546875" customWidth="1"/>
    <col min="9" max="9" width="24.28515625" bestFit="1" customWidth="1"/>
  </cols>
  <sheetData>
    <row r="1" spans="1:9" ht="30" customHeight="1" x14ac:dyDescent="0.25">
      <c r="A1" s="7" t="s">
        <v>95</v>
      </c>
      <c r="B1" s="7" t="s">
        <v>41</v>
      </c>
      <c r="C1" s="7" t="s">
        <v>90</v>
      </c>
      <c r="D1" s="7" t="s">
        <v>91</v>
      </c>
      <c r="E1" s="7" t="s">
        <v>92</v>
      </c>
      <c r="F1" s="7" t="s">
        <v>93</v>
      </c>
      <c r="G1" s="7" t="s">
        <v>94</v>
      </c>
      <c r="H1" s="18" t="s">
        <v>37</v>
      </c>
      <c r="I1" s="7" t="s">
        <v>38</v>
      </c>
    </row>
  </sheetData>
  <sortState ref="A2:J629">
    <sortCondition ref="A2:A629"/>
    <sortCondition ref="B2:B629"/>
    <sortCondition ref="C2:C629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zoomScale="85" zoomScaleNormal="85" workbookViewId="0">
      <selection activeCell="A2" sqref="A2"/>
    </sheetView>
  </sheetViews>
  <sheetFormatPr defaultRowHeight="15" x14ac:dyDescent="0.25"/>
  <cols>
    <col min="2" max="2" width="24.42578125" bestFit="1" customWidth="1"/>
    <col min="3" max="3" width="57.42578125" bestFit="1" customWidth="1"/>
    <col min="10" max="10" width="16.85546875" bestFit="1" customWidth="1"/>
    <col min="11" max="11" width="24.28515625" bestFit="1" customWidth="1"/>
  </cols>
  <sheetData>
    <row r="1" spans="1:11" ht="28.5" customHeight="1" x14ac:dyDescent="0.25">
      <c r="A1" s="7" t="s">
        <v>95</v>
      </c>
      <c r="B1" s="7" t="s">
        <v>41</v>
      </c>
      <c r="C1" s="7" t="s">
        <v>90</v>
      </c>
      <c r="D1" s="7" t="s">
        <v>91</v>
      </c>
      <c r="E1" s="7" t="s">
        <v>92</v>
      </c>
      <c r="F1" s="7" t="s">
        <v>93</v>
      </c>
      <c r="G1" s="7" t="s">
        <v>94</v>
      </c>
      <c r="H1" s="7" t="s">
        <v>96</v>
      </c>
      <c r="I1" s="7" t="s">
        <v>97</v>
      </c>
      <c r="J1" s="18" t="s">
        <v>37</v>
      </c>
      <c r="K1" s="7" t="s">
        <v>38</v>
      </c>
    </row>
  </sheetData>
  <sortState ref="A2:K584">
    <sortCondition ref="A2:A584"/>
    <sortCondition ref="B2:B584"/>
    <sortCondition ref="C2:C58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"/>
  <sheetViews>
    <sheetView zoomScale="85" zoomScaleNormal="85" workbookViewId="0">
      <selection activeCell="A2" sqref="A2"/>
    </sheetView>
  </sheetViews>
  <sheetFormatPr defaultRowHeight="15" x14ac:dyDescent="0.25"/>
  <cols>
    <col min="13" max="13" width="23.140625" customWidth="1"/>
    <col min="14" max="14" width="10.28515625" bestFit="1" customWidth="1"/>
    <col min="15" max="15" width="16.85546875" bestFit="1" customWidth="1"/>
    <col min="16" max="16" width="23" customWidth="1"/>
    <col min="17" max="17" width="12.5703125" bestFit="1" customWidth="1"/>
    <col min="18" max="18" width="4.5703125" bestFit="1" customWidth="1"/>
  </cols>
  <sheetData>
    <row r="1" spans="1:19" ht="28.5" customHeight="1" x14ac:dyDescent="0.25">
      <c r="A1" s="7" t="s">
        <v>113</v>
      </c>
      <c r="B1" s="7" t="s">
        <v>113</v>
      </c>
      <c r="C1" s="7" t="s">
        <v>95</v>
      </c>
      <c r="D1" s="7" t="s">
        <v>41</v>
      </c>
      <c r="E1" s="7" t="s">
        <v>90</v>
      </c>
      <c r="F1" s="7" t="s">
        <v>91</v>
      </c>
      <c r="G1" s="7" t="s">
        <v>92</v>
      </c>
      <c r="H1" s="7" t="s">
        <v>93</v>
      </c>
      <c r="I1" s="7" t="s">
        <v>94</v>
      </c>
      <c r="J1" s="7" t="s">
        <v>98</v>
      </c>
      <c r="K1" s="7" t="s">
        <v>43</v>
      </c>
      <c r="L1" s="7" t="s">
        <v>99</v>
      </c>
      <c r="M1" s="7" t="s">
        <v>96</v>
      </c>
      <c r="N1" s="7" t="s">
        <v>97</v>
      </c>
      <c r="O1" s="7" t="s">
        <v>100</v>
      </c>
      <c r="P1" s="7" t="s">
        <v>42</v>
      </c>
      <c r="Q1" s="18" t="s">
        <v>37</v>
      </c>
      <c r="R1" s="7" t="s">
        <v>38</v>
      </c>
      <c r="S1" s="7" t="s">
        <v>61</v>
      </c>
    </row>
  </sheetData>
  <sortState ref="C2:U28981">
    <sortCondition ref="C2:C2898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"/>
  <sheetViews>
    <sheetView zoomScale="85" zoomScaleNormal="85" workbookViewId="0"/>
  </sheetViews>
  <sheetFormatPr defaultRowHeight="15" x14ac:dyDescent="0.25"/>
  <cols>
    <col min="1" max="1" width="18.28515625" bestFit="1" customWidth="1"/>
    <col min="8" max="8" width="16.85546875" bestFit="1" customWidth="1"/>
    <col min="9" max="9" width="24.28515625" bestFit="1" customWidth="1"/>
  </cols>
  <sheetData>
    <row r="1" spans="1:9" ht="28.5" customHeight="1" x14ac:dyDescent="0.25">
      <c r="A1" s="7" t="s">
        <v>30</v>
      </c>
      <c r="B1" s="7" t="s">
        <v>31</v>
      </c>
      <c r="C1" s="7" t="s">
        <v>32</v>
      </c>
      <c r="D1" s="7" t="s">
        <v>33</v>
      </c>
      <c r="E1" s="7" t="s">
        <v>34</v>
      </c>
      <c r="F1" s="7" t="s">
        <v>35</v>
      </c>
      <c r="G1" s="7" t="s">
        <v>36</v>
      </c>
      <c r="H1" s="7" t="s">
        <v>37</v>
      </c>
      <c r="I1" s="7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zoomScale="85" zoomScaleNormal="85" workbookViewId="0">
      <selection activeCell="A2" sqref="A2"/>
    </sheetView>
  </sheetViews>
  <sheetFormatPr defaultRowHeight="15" x14ac:dyDescent="0.25"/>
  <cols>
    <col min="2" max="2" width="18" bestFit="1" customWidth="1"/>
    <col min="8" max="8" width="16.85546875" bestFit="1" customWidth="1"/>
    <col min="9" max="9" width="24.28515625" bestFit="1" customWidth="1"/>
    <col min="10" max="10" width="19" customWidth="1"/>
  </cols>
  <sheetData>
    <row r="1" spans="1:10" ht="28.5" customHeight="1" x14ac:dyDescent="0.25">
      <c r="A1" s="7" t="s">
        <v>95</v>
      </c>
      <c r="B1" s="7" t="s">
        <v>41</v>
      </c>
      <c r="C1" s="7" t="s">
        <v>90</v>
      </c>
      <c r="D1" s="7" t="s">
        <v>91</v>
      </c>
      <c r="E1" s="7" t="s">
        <v>92</v>
      </c>
      <c r="F1" s="7" t="s">
        <v>93</v>
      </c>
      <c r="G1" s="7" t="s">
        <v>94</v>
      </c>
      <c r="H1" s="18" t="s">
        <v>37</v>
      </c>
      <c r="I1" s="7" t="s">
        <v>38</v>
      </c>
      <c r="J1" s="18" t="s">
        <v>112</v>
      </c>
    </row>
  </sheetData>
  <sortState ref="A2:J32">
    <sortCondition ref="A2:A32"/>
    <sortCondition ref="B2:B3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"/>
  <sheetViews>
    <sheetView zoomScale="85" zoomScaleNormal="85" workbookViewId="0"/>
  </sheetViews>
  <sheetFormatPr defaultRowHeight="15" x14ac:dyDescent="0.25"/>
  <cols>
    <col min="2" max="2" width="24.42578125" bestFit="1" customWidth="1"/>
    <col min="8" max="8" width="16.85546875" bestFit="1" customWidth="1"/>
    <col min="9" max="9" width="24.28515625" bestFit="1" customWidth="1"/>
  </cols>
  <sheetData>
    <row r="1" spans="1:9" x14ac:dyDescent="0.25">
      <c r="A1" s="7" t="s">
        <v>95</v>
      </c>
      <c r="B1" s="7" t="s">
        <v>41</v>
      </c>
      <c r="C1" s="7" t="s">
        <v>90</v>
      </c>
      <c r="D1" s="7" t="s">
        <v>91</v>
      </c>
      <c r="E1" s="7" t="s">
        <v>92</v>
      </c>
      <c r="F1" s="7" t="s">
        <v>93</v>
      </c>
      <c r="G1" s="7" t="s">
        <v>94</v>
      </c>
      <c r="H1" s="18" t="s">
        <v>37</v>
      </c>
      <c r="I1" s="7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"/>
  <sheetViews>
    <sheetView zoomScale="85" zoomScaleNormal="85" workbookViewId="0">
      <selection activeCell="L40" sqref="L40"/>
    </sheetView>
  </sheetViews>
  <sheetFormatPr defaultRowHeight="15" x14ac:dyDescent="0.25"/>
  <cols>
    <col min="14" max="14" width="24.7109375" customWidth="1"/>
    <col min="18" max="18" width="16.85546875" bestFit="1" customWidth="1"/>
  </cols>
  <sheetData>
    <row r="1" spans="1:18" ht="28.5" customHeight="1" x14ac:dyDescent="0.25">
      <c r="A1" s="6" t="s">
        <v>41</v>
      </c>
      <c r="B1" s="6" t="s">
        <v>93</v>
      </c>
      <c r="C1" s="6" t="s">
        <v>94</v>
      </c>
      <c r="D1" s="6" t="s">
        <v>101</v>
      </c>
      <c r="E1" s="6" t="s">
        <v>102</v>
      </c>
      <c r="F1" s="6" t="s">
        <v>103</v>
      </c>
      <c r="G1" s="6" t="s">
        <v>104</v>
      </c>
      <c r="H1" s="6" t="s">
        <v>105</v>
      </c>
      <c r="I1" s="6" t="s">
        <v>106</v>
      </c>
      <c r="J1" s="6" t="s">
        <v>107</v>
      </c>
      <c r="K1" s="6" t="s">
        <v>108</v>
      </c>
      <c r="L1" s="6" t="s">
        <v>109</v>
      </c>
      <c r="M1" s="6" t="s">
        <v>110</v>
      </c>
      <c r="N1" s="6" t="s">
        <v>100</v>
      </c>
      <c r="O1" s="6" t="s">
        <v>42</v>
      </c>
      <c r="P1" s="6" t="s">
        <v>111</v>
      </c>
      <c r="Q1" s="17" t="s">
        <v>38</v>
      </c>
      <c r="R1" s="19" t="s">
        <v>37</v>
      </c>
    </row>
  </sheetData>
  <sortState ref="B2:S213">
    <sortCondition ref="O1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3"/>
  <sheetViews>
    <sheetView workbookViewId="0"/>
  </sheetViews>
  <sheetFormatPr defaultRowHeight="15" x14ac:dyDescent="0.25"/>
  <cols>
    <col min="1" max="1" width="28.28515625" bestFit="1" customWidth="1"/>
    <col min="2" max="2" width="9" bestFit="1" customWidth="1"/>
  </cols>
  <sheetData>
    <row r="1" spans="1:3" s="8" customFormat="1" x14ac:dyDescent="0.25">
      <c r="A1" s="11" t="s">
        <v>59</v>
      </c>
      <c r="B1" s="12" t="s">
        <v>60</v>
      </c>
    </row>
    <row r="2" spans="1:3" s="8" customFormat="1" x14ac:dyDescent="0.25">
      <c r="A2" s="13" t="s">
        <v>117</v>
      </c>
      <c r="B2" s="14">
        <v>12345</v>
      </c>
      <c r="C2" s="8" t="s">
        <v>62</v>
      </c>
    </row>
    <row r="3" spans="1:3" s="8" customFormat="1" x14ac:dyDescent="0.25">
      <c r="A3" s="13" t="s">
        <v>118</v>
      </c>
      <c r="B3" s="14">
        <v>98765</v>
      </c>
      <c r="C3" s="8" t="s">
        <v>62</v>
      </c>
    </row>
  </sheetData>
  <conditionalFormatting sqref="A1:A3">
    <cfRule type="duplicateValues" dxfId="14" priority="17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9"/>
  <sheetViews>
    <sheetView workbookViewId="0"/>
  </sheetViews>
  <sheetFormatPr defaultRowHeight="15" x14ac:dyDescent="0.25"/>
  <cols>
    <col min="1" max="1" width="14.5703125" bestFit="1" customWidth="1"/>
    <col min="2" max="2" width="14.42578125" customWidth="1"/>
    <col min="3" max="3" width="15.140625" customWidth="1"/>
    <col min="4" max="4" width="20.5703125" bestFit="1" customWidth="1"/>
    <col min="5" max="5" width="12.7109375" bestFit="1" customWidth="1"/>
    <col min="6" max="6" width="14.5703125" bestFit="1" customWidth="1"/>
    <col min="7" max="7" width="9.140625" style="8"/>
    <col min="8" max="8" width="20.5703125" bestFit="1" customWidth="1"/>
  </cols>
  <sheetData>
    <row r="1" spans="1:14" x14ac:dyDescent="0.25">
      <c r="A1" s="1" t="s">
        <v>24</v>
      </c>
      <c r="B1" s="9" t="s">
        <v>26</v>
      </c>
      <c r="E1" s="1" t="s">
        <v>29</v>
      </c>
      <c r="F1" s="1" t="s">
        <v>25</v>
      </c>
      <c r="G1" s="1"/>
      <c r="I1" t="s">
        <v>27</v>
      </c>
      <c r="J1" t="s">
        <v>28</v>
      </c>
      <c r="K1" s="1" t="s">
        <v>45</v>
      </c>
      <c r="N1" s="1"/>
    </row>
    <row r="2" spans="1:14" x14ac:dyDescent="0.25">
      <c r="A2" t="s">
        <v>11</v>
      </c>
      <c r="B2" s="2">
        <f>SUMIF('BC IL'!B:B,"Cincinnati",'BC IL'!H:H)*-1</f>
        <v>0</v>
      </c>
      <c r="D2" s="3" t="s">
        <v>16</v>
      </c>
      <c r="E2">
        <f>SUM(E3:E10)</f>
        <v>0</v>
      </c>
      <c r="F2" s="8" t="e">
        <f>SUM(F3:F10)</f>
        <v>#REF!</v>
      </c>
      <c r="H2" s="3" t="s">
        <v>16</v>
      </c>
      <c r="I2">
        <f>SUM(I3:I10)</f>
        <v>0</v>
      </c>
      <c r="J2">
        <f>SUM(J3:J10)</f>
        <v>0</v>
      </c>
      <c r="K2" s="5">
        <f>(I2+J2)*-1</f>
        <v>0</v>
      </c>
    </row>
    <row r="3" spans="1:14" x14ac:dyDescent="0.25">
      <c r="A3" t="s">
        <v>14</v>
      </c>
      <c r="B3" s="2">
        <f>SUMIF('BC IL'!B:B,"Great Plaines",'BC IL'!H:H)*-1</f>
        <v>0</v>
      </c>
      <c r="D3" s="4" t="s">
        <v>11</v>
      </c>
      <c r="E3">
        <f>SUMIF(Provider!B:B,'CB Sheet'!D3,Provider!H:H)</f>
        <v>0</v>
      </c>
      <c r="F3" s="8" t="e">
        <f>SUMIF(#REF!,D:D,#REF!)*-1</f>
        <v>#REF!</v>
      </c>
      <c r="H3" s="4" t="s">
        <v>11</v>
      </c>
      <c r="I3">
        <f>SUMIF('EPN PPN Provider'!B:B,'CB Sheet'!H3,'EPN PPN Provider'!J:J)</f>
        <v>0</v>
      </c>
      <c r="J3">
        <f>SUMIF('DM PPN'!A:A,'CB Sheet'!H3,'DM PPN'!R:R)</f>
        <v>0</v>
      </c>
      <c r="K3" s="2">
        <f t="shared" ref="K3:K35" si="0">(I3+J3)*-1</f>
        <v>0</v>
      </c>
    </row>
    <row r="4" spans="1:14" x14ac:dyDescent="0.25">
      <c r="A4" t="s">
        <v>1</v>
      </c>
      <c r="B4" s="8">
        <f>SUMIF('BC IL'!B:B,"Wisconsin",'BC IL'!H:H)*-1</f>
        <v>0</v>
      </c>
      <c r="D4" s="4" t="s">
        <v>48</v>
      </c>
      <c r="E4" s="8">
        <f>SUMIF(Provider!B:B,'CB Sheet'!D4,Provider!H:H)</f>
        <v>0</v>
      </c>
      <c r="F4" s="8" t="e">
        <f>SUMIF(#REF!,D:D,#REF!)*-1</f>
        <v>#REF!</v>
      </c>
      <c r="H4" s="4" t="s">
        <v>48</v>
      </c>
      <c r="I4" s="8">
        <f>SUMIF('EPN PPN Provider'!B:B,'CB Sheet'!H4,'EPN PPN Provider'!J:J)</f>
        <v>0</v>
      </c>
      <c r="J4" s="8">
        <f>SUMIF('DM PPN'!A:A,'CB Sheet'!H4,'DM PPN'!R:R)</f>
        <v>0</v>
      </c>
      <c r="K4" s="8">
        <f t="shared" si="0"/>
        <v>0</v>
      </c>
    </row>
    <row r="5" spans="1:14" x14ac:dyDescent="0.25">
      <c r="A5" s="8" t="s">
        <v>46</v>
      </c>
      <c r="B5" s="8">
        <f>SUMIF('BC IL'!B:B,"Indiana",'BC IL'!H:H)*-1</f>
        <v>0</v>
      </c>
      <c r="D5" s="4" t="s">
        <v>14</v>
      </c>
      <c r="E5" s="8">
        <f>SUMIF(Provider!B:B,'CB Sheet'!D5,Provider!H:H)</f>
        <v>0</v>
      </c>
      <c r="F5" s="8" t="e">
        <f>SUMIF(#REF!,D:D,#REF!)*-1</f>
        <v>#REF!</v>
      </c>
      <c r="H5" s="4" t="s">
        <v>14</v>
      </c>
      <c r="I5" s="8">
        <f>SUMIF('EPN PPN Provider'!B:B,'CB Sheet'!H5,'EPN PPN Provider'!J:J)</f>
        <v>0</v>
      </c>
      <c r="J5" s="8">
        <f>SUMIF('DM PPN'!A:A,'CB Sheet'!H5,'DM PPN'!R:R)</f>
        <v>0</v>
      </c>
      <c r="K5" s="8">
        <f t="shared" si="0"/>
        <v>0</v>
      </c>
    </row>
    <row r="6" spans="1:14" x14ac:dyDescent="0.25">
      <c r="A6" s="9" t="s">
        <v>48</v>
      </c>
      <c r="B6" s="8">
        <f>SUMIF('BC IL'!B:B,"Columbus",'BC IL'!H:H)*-1</f>
        <v>0</v>
      </c>
      <c r="D6" s="4" t="s">
        <v>46</v>
      </c>
      <c r="E6" s="8">
        <f>SUMIF(Provider!B:B,'CB Sheet'!D6,Provider!H:H)</f>
        <v>0</v>
      </c>
      <c r="F6" s="8" t="e">
        <f>SUMIF(#REF!,D:D,#REF!)*-1</f>
        <v>#REF!</v>
      </c>
      <c r="H6" s="4" t="s">
        <v>46</v>
      </c>
      <c r="I6" s="8">
        <f>SUMIF('EPN PPN Provider'!B:B,'CB Sheet'!H6,'EPN PPN Provider'!J:J)</f>
        <v>0</v>
      </c>
      <c r="J6" s="8">
        <f>SUMIF('DM PPN'!A:A,'CB Sheet'!H6,'DM PPN'!R:R)</f>
        <v>0</v>
      </c>
      <c r="K6" s="8">
        <f t="shared" si="0"/>
        <v>0</v>
      </c>
    </row>
    <row r="7" spans="1:14" s="8" customFormat="1" x14ac:dyDescent="0.25">
      <c r="A7" s="9" t="s">
        <v>10</v>
      </c>
      <c r="B7" s="8">
        <f>SUMIF('BC IL'!B:B,"Michigan",'BC IL'!H:H)*-1</f>
        <v>0</v>
      </c>
      <c r="D7" s="4" t="s">
        <v>10</v>
      </c>
      <c r="E7" s="8">
        <f>SUMIF(Provider!B:B,'CB Sheet'!D7,Provider!H:H)</f>
        <v>0</v>
      </c>
      <c r="F7" s="8" t="e">
        <f>SUMIF(#REF!,D:D,#REF!)*-1</f>
        <v>#REF!</v>
      </c>
      <c r="H7" s="4" t="s">
        <v>10</v>
      </c>
      <c r="I7" s="8">
        <f>SUMIF('EPN PPN Provider'!B:B,'CB Sheet'!H7,'EPN PPN Provider'!J:J)</f>
        <v>0</v>
      </c>
      <c r="J7" s="8">
        <f>SUMIF('DM PPN'!A:A,'CB Sheet'!H7,'DM PPN'!R:R)</f>
        <v>0</v>
      </c>
      <c r="K7" s="8">
        <f t="shared" si="0"/>
        <v>0</v>
      </c>
    </row>
    <row r="8" spans="1:14" x14ac:dyDescent="0.25">
      <c r="D8" s="4" t="s">
        <v>49</v>
      </c>
      <c r="E8" s="8">
        <f>SUMIF(Provider!B:B,'CB Sheet'!D8,Provider!H:H)</f>
        <v>0</v>
      </c>
      <c r="F8" s="8" t="e">
        <f>SUMIF(#REF!,D:D,#REF!)*-1</f>
        <v>#REF!</v>
      </c>
      <c r="H8" s="4" t="s">
        <v>49</v>
      </c>
      <c r="I8" s="8">
        <f>SUMIF('EPN PPN Provider'!B:B,'CB Sheet'!H8,'EPN PPN Provider'!J:J)</f>
        <v>0</v>
      </c>
      <c r="J8" s="8">
        <f>SUMIF('DM PPN'!A:A,'CB Sheet'!H8,'DM PPN'!R:R)</f>
        <v>0</v>
      </c>
      <c r="K8" s="8">
        <f t="shared" si="0"/>
        <v>0</v>
      </c>
    </row>
    <row r="9" spans="1:14" x14ac:dyDescent="0.25">
      <c r="D9" s="4" t="s">
        <v>6</v>
      </c>
      <c r="E9" s="8">
        <f>SUMIF(Provider!B:B,'CB Sheet'!D9,Provider!H:H)</f>
        <v>0</v>
      </c>
      <c r="F9" s="8" t="e">
        <f>SUMIF(#REF!,D:D,#REF!)*-1</f>
        <v>#REF!</v>
      </c>
      <c r="H9" s="4" t="s">
        <v>6</v>
      </c>
      <c r="I9" s="8">
        <f>SUMIF('EPN PPN Provider'!B:B,'CB Sheet'!H9,'EPN PPN Provider'!J:J)</f>
        <v>0</v>
      </c>
      <c r="J9" s="8">
        <f>SUMIF('DM PPN'!A:A,'CB Sheet'!H9,'DM PPN'!R:R)</f>
        <v>0</v>
      </c>
      <c r="K9" s="8">
        <f t="shared" si="0"/>
        <v>0</v>
      </c>
    </row>
    <row r="10" spans="1:14" x14ac:dyDescent="0.25">
      <c r="D10" s="4" t="s">
        <v>1</v>
      </c>
      <c r="E10" s="8">
        <f>SUMIF(Provider!B:B,'CB Sheet'!D10,Provider!H:H)</f>
        <v>0</v>
      </c>
      <c r="F10" s="8" t="e">
        <f>SUMIF(#REF!,D:D,#REF!)*-1</f>
        <v>#REF!</v>
      </c>
      <c r="H10" s="4" t="s">
        <v>1</v>
      </c>
      <c r="I10" s="8">
        <f>SUMIF('EPN PPN Provider'!B:B,'CB Sheet'!H10,'EPN PPN Provider'!J:J)</f>
        <v>0</v>
      </c>
      <c r="J10" s="8">
        <f>SUMIF('DM PPN'!A:A,'CB Sheet'!H10,'DM PPN'!R:R)</f>
        <v>0</v>
      </c>
      <c r="K10" s="8">
        <f t="shared" si="0"/>
        <v>0</v>
      </c>
    </row>
    <row r="11" spans="1:14" x14ac:dyDescent="0.25">
      <c r="D11" s="3" t="s">
        <v>19</v>
      </c>
      <c r="E11" s="8">
        <f>SUM(E12:E19)</f>
        <v>0</v>
      </c>
      <c r="F11" s="8" t="e">
        <f>SUM(F12:F19)</f>
        <v>#REF!</v>
      </c>
      <c r="H11" s="3" t="s">
        <v>19</v>
      </c>
      <c r="I11" s="8">
        <f>SUM(I12:I19)</f>
        <v>0</v>
      </c>
      <c r="J11" s="8">
        <f>SUMIF('DM PPN'!A:A,'CB Sheet'!H11,'DM PPN'!R:R)</f>
        <v>0</v>
      </c>
      <c r="K11" s="8">
        <f t="shared" si="0"/>
        <v>0</v>
      </c>
    </row>
    <row r="12" spans="1:14" x14ac:dyDescent="0.25">
      <c r="D12" s="4" t="s">
        <v>8</v>
      </c>
      <c r="E12" s="8">
        <f>SUMIF(Provider!B:B,'CB Sheet'!D12,Provider!H:H)</f>
        <v>0</v>
      </c>
      <c r="F12" s="8" t="e">
        <f>SUMIF(#REF!,D:D,#REF!)*-1</f>
        <v>#REF!</v>
      </c>
      <c r="H12" s="4" t="s">
        <v>8</v>
      </c>
      <c r="I12" s="8">
        <f>SUMIF('EPN PPN Provider'!B:B,'CB Sheet'!H12,'EPN PPN Provider'!J:J)</f>
        <v>0</v>
      </c>
      <c r="J12" s="8">
        <f>SUMIF('DM PPN'!A:A,'CB Sheet'!H12,'DM PPN'!R:R)</f>
        <v>0</v>
      </c>
      <c r="K12" s="8">
        <f t="shared" si="0"/>
        <v>0</v>
      </c>
    </row>
    <row r="13" spans="1:14" x14ac:dyDescent="0.25">
      <c r="A13" s="8"/>
      <c r="B13" s="8"/>
      <c r="D13" s="4" t="s">
        <v>0</v>
      </c>
      <c r="E13" s="8">
        <f>SUMIF(Provider!B:B,'CB Sheet'!D13,Provider!H:H)</f>
        <v>0</v>
      </c>
      <c r="F13" s="8" t="e">
        <f>SUMIF(#REF!,D:D,#REF!)*-1</f>
        <v>#REF!</v>
      </c>
      <c r="H13" s="4" t="s">
        <v>0</v>
      </c>
      <c r="I13" s="8">
        <f>SUMIF('EPN PPN Provider'!B:B,'CB Sheet'!H13,'EPN PPN Provider'!J:J)</f>
        <v>0</v>
      </c>
      <c r="J13" s="8">
        <f>SUMIF('DM PPN'!A:A,'CB Sheet'!H13,'DM PPN'!R:R)</f>
        <v>0</v>
      </c>
      <c r="K13" s="2">
        <f t="shared" si="0"/>
        <v>0</v>
      </c>
    </row>
    <row r="14" spans="1:14" s="8" customFormat="1" x14ac:dyDescent="0.25">
      <c r="D14" s="4" t="s">
        <v>52</v>
      </c>
      <c r="E14" s="8">
        <f>SUMIF(Provider!B:B,'CB Sheet'!D14,Provider!H:H)</f>
        <v>0</v>
      </c>
      <c r="F14" s="8" t="e">
        <f>SUMIF(#REF!,D:D,#REF!)*-1</f>
        <v>#REF!</v>
      </c>
      <c r="H14" s="4" t="s">
        <v>52</v>
      </c>
      <c r="I14" s="8">
        <f>SUMIF('EPN PPN Provider'!B:B,'CB Sheet'!H14,'EPN PPN Provider'!J:J)</f>
        <v>0</v>
      </c>
      <c r="J14" s="8">
        <f>SUMIF('DM PPN'!A:A,'CB Sheet'!H14,'DM PPN'!R:R)</f>
        <v>0</v>
      </c>
      <c r="K14" s="8">
        <f t="shared" ref="K14" si="1">(I14+J14)*-1</f>
        <v>0</v>
      </c>
    </row>
    <row r="15" spans="1:14" s="8" customFormat="1" x14ac:dyDescent="0.25">
      <c r="A15"/>
      <c r="B15"/>
      <c r="D15" s="4" t="s">
        <v>54</v>
      </c>
      <c r="E15" s="8">
        <f>SUMIF(Provider!B:B,'CB Sheet'!D15,Provider!H:H)</f>
        <v>0</v>
      </c>
      <c r="F15" s="8" t="e">
        <f>SUMIF(#REF!,D:D,#REF!)*-1</f>
        <v>#REF!</v>
      </c>
      <c r="H15" s="4" t="s">
        <v>54</v>
      </c>
      <c r="I15" s="8">
        <f>SUMIF('EPN PPN Provider'!B:B,'CB Sheet'!H15,'EPN PPN Provider'!J:J)</f>
        <v>0</v>
      </c>
      <c r="J15" s="8">
        <f>SUMIF('DM PPN'!A:A,'CB Sheet'!H15,'DM PPN'!R:R)</f>
        <v>0</v>
      </c>
      <c r="K15" s="8">
        <f t="shared" ref="K15" si="2">(I15+J15)*-1</f>
        <v>0</v>
      </c>
    </row>
    <row r="16" spans="1:14" x14ac:dyDescent="0.25">
      <c r="A16" s="8"/>
      <c r="B16" s="8"/>
      <c r="D16" s="4" t="s">
        <v>4</v>
      </c>
      <c r="E16" s="8">
        <f>SUMIF(Provider!B:B,'CB Sheet'!D16,Provider!H:H)</f>
        <v>0</v>
      </c>
      <c r="F16" s="8" t="e">
        <f>SUMIF(#REF!,D:D,#REF!)*-1</f>
        <v>#REF!</v>
      </c>
      <c r="H16" s="4" t="s">
        <v>4</v>
      </c>
      <c r="I16" s="8">
        <f>SUMIF('EPN PPN Provider'!B:B,'CB Sheet'!H16,'EPN PPN Provider'!J:J)</f>
        <v>0</v>
      </c>
      <c r="J16" s="8">
        <f>SUMIF('DM PPN'!A:A,'CB Sheet'!H16,'DM PPN'!R:R)</f>
        <v>0</v>
      </c>
      <c r="K16" s="2">
        <f t="shared" si="0"/>
        <v>0</v>
      </c>
    </row>
    <row r="17" spans="1:11" s="8" customFormat="1" x14ac:dyDescent="0.25">
      <c r="A17"/>
      <c r="B17"/>
      <c r="D17" s="4" t="s">
        <v>50</v>
      </c>
      <c r="E17" s="8">
        <f>SUMIF(Provider!B:B,'CB Sheet'!D17,Provider!H:H)</f>
        <v>0</v>
      </c>
      <c r="F17" s="8" t="e">
        <f>SUMIF(#REF!,D:D,#REF!)*-1</f>
        <v>#REF!</v>
      </c>
      <c r="H17" s="4" t="s">
        <v>50</v>
      </c>
      <c r="I17" s="8">
        <f>SUMIF('EPN PPN Provider'!B:B,'CB Sheet'!H17,'EPN PPN Provider'!J:J)</f>
        <v>0</v>
      </c>
      <c r="J17" s="8">
        <f>SUMIF('DM PPN'!A:A,'CB Sheet'!H17,'DM PPN'!R:R)</f>
        <v>0</v>
      </c>
      <c r="K17" s="8">
        <f t="shared" ref="K17" si="3">(I17+J17)*-1</f>
        <v>0</v>
      </c>
    </row>
    <row r="18" spans="1:11" x14ac:dyDescent="0.25">
      <c r="D18" s="4" t="s">
        <v>5</v>
      </c>
      <c r="E18" s="8">
        <f>SUMIF(Provider!B:B,'CB Sheet'!D18,Provider!H:H)</f>
        <v>0</v>
      </c>
      <c r="F18" s="8" t="e">
        <f>SUMIF(#REF!,D:D,#REF!)*-1</f>
        <v>#REF!</v>
      </c>
      <c r="H18" s="4" t="s">
        <v>5</v>
      </c>
      <c r="I18" s="8">
        <f>SUMIF('EPN PPN Provider'!B:B,'CB Sheet'!H18,'EPN PPN Provider'!J:J)</f>
        <v>0</v>
      </c>
      <c r="J18" s="8">
        <f>SUMIF('DM PPN'!A:A,'CB Sheet'!H18,'DM PPN'!R:R)</f>
        <v>0</v>
      </c>
      <c r="K18" s="2">
        <f t="shared" si="0"/>
        <v>0</v>
      </c>
    </row>
    <row r="19" spans="1:11" x14ac:dyDescent="0.25">
      <c r="D19" s="4" t="s">
        <v>55</v>
      </c>
      <c r="E19" s="8">
        <f>SUMIF(Provider!B:B,'CB Sheet'!D19,Provider!H:H)</f>
        <v>0</v>
      </c>
      <c r="F19" s="8" t="e">
        <f>SUMIF(#REF!,D:D,#REF!)*-1</f>
        <v>#REF!</v>
      </c>
      <c r="H19" s="4" t="s">
        <v>55</v>
      </c>
      <c r="I19" s="8">
        <f>SUMIF('EPN PPN Provider'!B:B,'CB Sheet'!H19,'EPN PPN Provider'!J:J)</f>
        <v>0</v>
      </c>
      <c r="J19" s="8">
        <f>SUMIF('DM PPN'!A:A,'CB Sheet'!H19,'DM PPN'!R:R)</f>
        <v>0</v>
      </c>
      <c r="K19" s="2">
        <f t="shared" si="0"/>
        <v>0</v>
      </c>
    </row>
    <row r="20" spans="1:11" x14ac:dyDescent="0.25">
      <c r="A20" s="8"/>
      <c r="B20" s="8"/>
      <c r="D20" s="3" t="s">
        <v>17</v>
      </c>
      <c r="E20" s="8">
        <f>SUM(E21:E29)</f>
        <v>0</v>
      </c>
      <c r="F20" s="8" t="e">
        <f>SUM(F21:F29)</f>
        <v>#REF!</v>
      </c>
      <c r="H20" s="3" t="s">
        <v>17</v>
      </c>
      <c r="I20" s="2">
        <f>SUM(I21:I29)</f>
        <v>0</v>
      </c>
      <c r="J20" s="8">
        <f>SUMIF('DM PPN'!A:A,'CB Sheet'!H20,'DM PPN'!R:R)</f>
        <v>0</v>
      </c>
      <c r="K20" s="2">
        <f t="shared" si="0"/>
        <v>0</v>
      </c>
    </row>
    <row r="21" spans="1:11" s="8" customFormat="1" x14ac:dyDescent="0.25">
      <c r="A21"/>
      <c r="B21"/>
      <c r="D21" s="3" t="s">
        <v>56</v>
      </c>
      <c r="E21" s="8">
        <f>SUMIF(Provider!B:B,'CB Sheet'!D21,Provider!H:H)</f>
        <v>0</v>
      </c>
      <c r="F21" s="8" t="e">
        <f>SUMIF(#REF!,D:D,#REF!)*-1</f>
        <v>#REF!</v>
      </c>
      <c r="H21" s="3" t="s">
        <v>56</v>
      </c>
      <c r="I21" s="8">
        <f>SUMIF('EPN PPN Provider'!B:B,'CB Sheet'!H21,'EPN PPN Provider'!J:J)</f>
        <v>0</v>
      </c>
      <c r="J21" s="8">
        <f>SUMIF('DM PPN'!A:A,'CB Sheet'!H21,'DM PPN'!R:R)</f>
        <v>0</v>
      </c>
      <c r="K21" s="8">
        <f t="shared" ref="K21" si="4">(I21+J21)*-1</f>
        <v>0</v>
      </c>
    </row>
    <row r="22" spans="1:11" x14ac:dyDescent="0.25">
      <c r="D22" s="4" t="s">
        <v>18</v>
      </c>
      <c r="E22" s="8">
        <f>SUMIF(Provider!B:B,'CB Sheet'!D22,Provider!H:H)</f>
        <v>0</v>
      </c>
      <c r="F22" s="8" t="e">
        <f>SUMIF(#REF!,D:D,#REF!)*-1</f>
        <v>#REF!</v>
      </c>
      <c r="H22" s="4" t="s">
        <v>18</v>
      </c>
      <c r="I22" s="8">
        <f>SUMIF('EPN PPN Provider'!B:B,'CB Sheet'!H22,'EPN PPN Provider'!J:J)</f>
        <v>0</v>
      </c>
      <c r="J22" s="8">
        <f>SUMIF('DM PPN'!A:A,'CB Sheet'!H22,'DM PPN'!R:R)</f>
        <v>0</v>
      </c>
      <c r="K22" s="2">
        <f t="shared" si="0"/>
        <v>0</v>
      </c>
    </row>
    <row r="23" spans="1:11" x14ac:dyDescent="0.25">
      <c r="A23" s="8"/>
      <c r="B23" s="8"/>
      <c r="D23" s="4" t="s">
        <v>7</v>
      </c>
      <c r="E23" s="8">
        <f>SUMIF(Provider!B:B,'CB Sheet'!D23,Provider!H:H)</f>
        <v>0</v>
      </c>
      <c r="F23" s="8" t="e">
        <f>SUMIF(#REF!,D:D,#REF!)*-1</f>
        <v>#REF!</v>
      </c>
      <c r="H23" s="4" t="s">
        <v>7</v>
      </c>
      <c r="I23" s="8">
        <f>SUMIF('EPN PPN Provider'!B:B,'CB Sheet'!H23,'EPN PPN Provider'!J:J)</f>
        <v>0</v>
      </c>
      <c r="J23" s="8">
        <f>SUMIF('DM PPN'!A:A,'CB Sheet'!H23,'DM PPN'!R:R)</f>
        <v>0</v>
      </c>
      <c r="K23" s="2">
        <f t="shared" si="0"/>
        <v>0</v>
      </c>
    </row>
    <row r="24" spans="1:11" s="8" customFormat="1" x14ac:dyDescent="0.25">
      <c r="A24"/>
      <c r="B24"/>
      <c r="D24" s="4" t="s">
        <v>58</v>
      </c>
      <c r="E24" s="8">
        <f>SUMIF(Provider!B:B,'CB Sheet'!D24,Provider!H:H)</f>
        <v>0</v>
      </c>
      <c r="F24" s="8" t="e">
        <f>SUMIF(#REF!,D:D,#REF!)*-1</f>
        <v>#REF!</v>
      </c>
      <c r="H24" s="4" t="s">
        <v>58</v>
      </c>
      <c r="I24" s="8">
        <f>SUMIF('EPN PPN Provider'!B:B,'CB Sheet'!H24,'EPN PPN Provider'!J:J)</f>
        <v>0</v>
      </c>
      <c r="J24" s="8">
        <f>SUMIF('DM PPN'!A:A,'CB Sheet'!H24,'DM PPN'!R:R)</f>
        <v>0</v>
      </c>
      <c r="K24" s="8">
        <f t="shared" ref="K24" si="5">(I24+J24)*-1</f>
        <v>0</v>
      </c>
    </row>
    <row r="25" spans="1:11" x14ac:dyDescent="0.25">
      <c r="D25" s="4" t="s">
        <v>2</v>
      </c>
      <c r="E25" s="8">
        <f>SUMIF(Provider!B:B,'CB Sheet'!D25,Provider!H:H)</f>
        <v>0</v>
      </c>
      <c r="F25" s="8" t="e">
        <f>SUMIF(#REF!,D:D,#REF!)*-1</f>
        <v>#REF!</v>
      </c>
      <c r="H25" s="4" t="s">
        <v>2</v>
      </c>
      <c r="I25" s="8">
        <f>SUMIF('EPN PPN Provider'!B:B,'CB Sheet'!H25,'EPN PPN Provider'!J:J)</f>
        <v>0</v>
      </c>
      <c r="J25" s="8">
        <f>SUMIF('DM PPN'!A:A,'CB Sheet'!H25,'DM PPN'!R:R)</f>
        <v>0</v>
      </c>
      <c r="K25" s="2">
        <f t="shared" si="0"/>
        <v>0</v>
      </c>
    </row>
    <row r="26" spans="1:11" x14ac:dyDescent="0.25">
      <c r="D26" s="4" t="s">
        <v>13</v>
      </c>
      <c r="E26" s="8">
        <f>SUMIF(Provider!B:B,'CB Sheet'!D26,Provider!H:H)</f>
        <v>0</v>
      </c>
      <c r="F26" s="8" t="e">
        <f>SUMIF(#REF!,D:D,#REF!)*-1</f>
        <v>#REF!</v>
      </c>
      <c r="H26" s="4" t="s">
        <v>13</v>
      </c>
      <c r="I26" s="8">
        <f>SUMIF('EPN PPN Provider'!B:B,'CB Sheet'!H26,'EPN PPN Provider'!J:J)</f>
        <v>0</v>
      </c>
      <c r="J26" s="8">
        <f>SUMIF('DM PPN'!A:A,'CB Sheet'!H26,'DM PPN'!R:R)</f>
        <v>0</v>
      </c>
      <c r="K26" s="2">
        <f t="shared" si="0"/>
        <v>0</v>
      </c>
    </row>
    <row r="27" spans="1:11" x14ac:dyDescent="0.25">
      <c r="D27" s="4" t="s">
        <v>3</v>
      </c>
      <c r="E27" s="8">
        <f>SUMIF(Provider!B:B,'CB Sheet'!D27,Provider!H:H)</f>
        <v>0</v>
      </c>
      <c r="F27" s="8" t="e">
        <f>SUMIF(#REF!,D:D,#REF!)*-1</f>
        <v>#REF!</v>
      </c>
      <c r="H27" s="4" t="s">
        <v>3</v>
      </c>
      <c r="I27" s="8">
        <f>SUMIF('EPN PPN Provider'!B:B,'CB Sheet'!H27,'EPN PPN Provider'!J:J)</f>
        <v>0</v>
      </c>
      <c r="J27" s="8">
        <f>SUMIF('DM PPN'!A:A,'CB Sheet'!H27,'DM PPN'!R:R)</f>
        <v>0</v>
      </c>
      <c r="K27" s="2">
        <f t="shared" si="0"/>
        <v>0</v>
      </c>
    </row>
    <row r="28" spans="1:11" x14ac:dyDescent="0.25">
      <c r="D28" s="4" t="s">
        <v>57</v>
      </c>
      <c r="E28" s="8">
        <f>SUMIF(Provider!B:B,'CB Sheet'!D28,Provider!H:H)</f>
        <v>0</v>
      </c>
      <c r="F28" s="8" t="e">
        <f>SUMIF(#REF!,D:D,#REF!)*-1</f>
        <v>#REF!</v>
      </c>
      <c r="H28" s="4" t="s">
        <v>57</v>
      </c>
      <c r="I28" s="8">
        <f>SUMIF('EPN PPN Provider'!B:B,'CB Sheet'!H28,'EPN PPN Provider'!J:J)</f>
        <v>0</v>
      </c>
      <c r="J28" s="8">
        <f>SUMIF('DM PPN'!A:A,'CB Sheet'!H28,'DM PPN'!R:R)</f>
        <v>0</v>
      </c>
      <c r="K28" s="2">
        <f t="shared" si="0"/>
        <v>0</v>
      </c>
    </row>
    <row r="29" spans="1:11" x14ac:dyDescent="0.25">
      <c r="D29" s="4" t="s">
        <v>12</v>
      </c>
      <c r="E29" s="8">
        <f>SUMIF(Provider!B:B,'CB Sheet'!D29,Provider!H:H)</f>
        <v>0</v>
      </c>
      <c r="F29" s="8" t="e">
        <f>SUMIF(#REF!,D:D,#REF!)*-1</f>
        <v>#REF!</v>
      </c>
      <c r="H29" s="4" t="s">
        <v>12</v>
      </c>
      <c r="I29" s="8">
        <f>SUMIF('EPN PPN Provider'!B:B,'CB Sheet'!H29,'EPN PPN Provider'!J:J)</f>
        <v>0</v>
      </c>
      <c r="J29" s="8">
        <f>SUMIF('DM PPN'!A:A,'CB Sheet'!H29,'DM PPN'!R:R)</f>
        <v>0</v>
      </c>
      <c r="K29" s="2">
        <f t="shared" si="0"/>
        <v>0</v>
      </c>
    </row>
    <row r="30" spans="1:11" x14ac:dyDescent="0.25">
      <c r="D30" s="3" t="s">
        <v>20</v>
      </c>
      <c r="E30" s="8">
        <f>SUM(E31:E37)</f>
        <v>0</v>
      </c>
      <c r="F30" s="8" t="e">
        <f>SUM(F31:F37)</f>
        <v>#REF!</v>
      </c>
      <c r="H30" s="3" t="s">
        <v>20</v>
      </c>
      <c r="I30" s="2">
        <f>SUM(I31:I37)</f>
        <v>0</v>
      </c>
      <c r="J30" s="8">
        <f>SUMIF('DM PPN'!A:A,'CB Sheet'!H30,'DM PPN'!R:R)</f>
        <v>0</v>
      </c>
      <c r="K30" s="2">
        <f t="shared" si="0"/>
        <v>0</v>
      </c>
    </row>
    <row r="31" spans="1:11" x14ac:dyDescent="0.25">
      <c r="D31" s="4" t="s">
        <v>21</v>
      </c>
      <c r="E31" s="8">
        <f>SUMIF(Provider!B:B,'CB Sheet'!D31,Provider!H:H)</f>
        <v>0</v>
      </c>
      <c r="F31" s="8" t="e">
        <f>SUMIF(#REF!,D:D,#REF!)*-1</f>
        <v>#REF!</v>
      </c>
      <c r="H31" s="4" t="s">
        <v>21</v>
      </c>
      <c r="I31" s="8">
        <f>SUMIF('EPN PPN Provider'!B:B,'CB Sheet'!H31,'EPN PPN Provider'!J:J)</f>
        <v>0</v>
      </c>
      <c r="J31" s="8">
        <f>SUMIF('DM PPN'!A:A,'CB Sheet'!H31,'DM PPN'!R:R)</f>
        <v>0</v>
      </c>
      <c r="K31" s="2">
        <f t="shared" si="0"/>
        <v>0</v>
      </c>
    </row>
    <row r="32" spans="1:11" x14ac:dyDescent="0.25">
      <c r="A32" s="8"/>
      <c r="B32" s="8"/>
      <c r="D32" s="4" t="s">
        <v>22</v>
      </c>
      <c r="E32" s="8">
        <f>SUMIF(Provider!B:B,'CB Sheet'!D32,Provider!H:H)</f>
        <v>0</v>
      </c>
      <c r="F32" s="8" t="e">
        <f>SUMIF(#REF!,D:D,#REF!)*-1</f>
        <v>#REF!</v>
      </c>
      <c r="H32" s="4" t="s">
        <v>22</v>
      </c>
      <c r="I32" s="8">
        <f>SUMIF('EPN PPN Provider'!B:B,'CB Sheet'!H32,'EPN PPN Provider'!J:J)</f>
        <v>0</v>
      </c>
      <c r="J32" s="8">
        <f>SUMIF('DM PPN'!A:A,'CB Sheet'!H32,'DM PPN'!R:R)</f>
        <v>0</v>
      </c>
      <c r="K32" s="2">
        <f t="shared" si="0"/>
        <v>0</v>
      </c>
    </row>
    <row r="33" spans="1:11" s="8" customFormat="1" x14ac:dyDescent="0.25">
      <c r="A33"/>
      <c r="B33"/>
      <c r="D33" s="4" t="s">
        <v>53</v>
      </c>
      <c r="E33" s="8">
        <f>SUMIF(Provider!B:B,'CB Sheet'!D33,Provider!H:H)</f>
        <v>0</v>
      </c>
      <c r="F33" s="8" t="e">
        <f>SUMIF(#REF!,D:D,#REF!)*-1</f>
        <v>#REF!</v>
      </c>
      <c r="H33" s="4" t="s">
        <v>53</v>
      </c>
      <c r="I33" s="8">
        <f>SUMIF('EPN PPN Provider'!B:B,'CB Sheet'!H33,'EPN PPN Provider'!J:J)</f>
        <v>0</v>
      </c>
      <c r="J33" s="8">
        <f>SUMIF('DM PPN'!A:A,'CB Sheet'!H33,'DM PPN'!R:R)</f>
        <v>0</v>
      </c>
      <c r="K33" s="8">
        <f t="shared" ref="K33" si="6">(I33+J33)*-1</f>
        <v>0</v>
      </c>
    </row>
    <row r="34" spans="1:11" x14ac:dyDescent="0.25">
      <c r="D34" s="4" t="s">
        <v>9</v>
      </c>
      <c r="E34" s="8">
        <f>SUMIF(Provider!B:B,'CB Sheet'!D34,Provider!H:H)</f>
        <v>0</v>
      </c>
      <c r="F34" s="8" t="e">
        <f>SUMIF(#REF!,D:D,#REF!)*-1</f>
        <v>#REF!</v>
      </c>
      <c r="H34" s="4" t="s">
        <v>9</v>
      </c>
      <c r="I34" s="8">
        <f>SUMIF('EPN PPN Provider'!B:B,'CB Sheet'!H34,'EPN PPN Provider'!J:J)</f>
        <v>0</v>
      </c>
      <c r="J34" s="8">
        <f>SUMIF('DM PPN'!A:A,'CB Sheet'!H34,'DM PPN'!R:R)</f>
        <v>0</v>
      </c>
      <c r="K34" s="2">
        <f t="shared" si="0"/>
        <v>0</v>
      </c>
    </row>
    <row r="35" spans="1:11" x14ac:dyDescent="0.25">
      <c r="D35" s="4" t="s">
        <v>23</v>
      </c>
      <c r="E35" s="8">
        <f>SUMIF(Provider!B:B,'CB Sheet'!D35,Provider!H:H)</f>
        <v>0</v>
      </c>
      <c r="F35" s="8" t="e">
        <f>SUMIF(#REF!,D:D,#REF!)*-1</f>
        <v>#REF!</v>
      </c>
      <c r="H35" s="4" t="s">
        <v>23</v>
      </c>
      <c r="I35" s="8">
        <f>SUMIF('EPN PPN Provider'!B:B,'CB Sheet'!H35,'EPN PPN Provider'!J:J)</f>
        <v>0</v>
      </c>
      <c r="J35" s="8">
        <f>SUMIF('DM PPN'!A:A,'CB Sheet'!H35,'DM PPN'!R:R)</f>
        <v>0</v>
      </c>
      <c r="K35" s="2">
        <f t="shared" si="0"/>
        <v>0</v>
      </c>
    </row>
    <row r="36" spans="1:11" x14ac:dyDescent="0.25">
      <c r="D36" s="4" t="s">
        <v>44</v>
      </c>
      <c r="E36" s="8">
        <f>SUMIF(Provider!B:B,'CB Sheet'!D36,Provider!H:H)</f>
        <v>0</v>
      </c>
      <c r="F36" s="8" t="e">
        <f>SUMIF(#REF!,D:D,#REF!)*-1</f>
        <v>#REF!</v>
      </c>
      <c r="H36" s="4" t="s">
        <v>44</v>
      </c>
      <c r="I36" s="8">
        <f>SUMIF('EPN PPN Provider'!B:B,'CB Sheet'!H36,'EPN PPN Provider'!J:J)</f>
        <v>0</v>
      </c>
      <c r="J36" s="8">
        <f>SUMIF('DM PPN'!A:A,'CB Sheet'!H36,'DM PPN'!R:R)</f>
        <v>0</v>
      </c>
      <c r="K36" s="8">
        <f t="shared" ref="K36" si="7">(I36+J36)*-1</f>
        <v>0</v>
      </c>
    </row>
    <row r="37" spans="1:11" x14ac:dyDescent="0.25">
      <c r="D37" s="4" t="s">
        <v>51</v>
      </c>
      <c r="E37" s="8">
        <f>SUMIF(Provider!B:B,'CB Sheet'!D37,Provider!H:H)</f>
        <v>0</v>
      </c>
      <c r="F37" s="8" t="e">
        <f>SUMIF(#REF!,D:D,#REF!)*-1</f>
        <v>#REF!</v>
      </c>
      <c r="H37" s="4" t="s">
        <v>51</v>
      </c>
      <c r="I37" s="8">
        <f>SUMIF('EPN PPN Provider'!B:B,'CB Sheet'!H37,'EPN PPN Provider'!J:J)</f>
        <v>0</v>
      </c>
      <c r="J37" s="8">
        <f>SUMIF('DM PPN'!A:A,'CB Sheet'!H37,'DM PPN'!R:R)</f>
        <v>0</v>
      </c>
      <c r="K37" s="8">
        <f t="shared" ref="K37" si="8">(I37+J37)*-1</f>
        <v>0</v>
      </c>
    </row>
    <row r="38" spans="1:11" x14ac:dyDescent="0.25">
      <c r="A38" s="8"/>
      <c r="B38" s="8"/>
      <c r="D38" s="3" t="s">
        <v>15</v>
      </c>
      <c r="E38">
        <f>SUM(E30,E20,E11,E2)</f>
        <v>0</v>
      </c>
      <c r="F38" s="8" t="e">
        <f>SUM(F30,F20,F11,F2)</f>
        <v>#REF!</v>
      </c>
      <c r="H38" s="3" t="s">
        <v>15</v>
      </c>
      <c r="I38">
        <f>SUM(I30,I20,I11,I2)</f>
        <v>0</v>
      </c>
      <c r="J38">
        <f>SUM(J2,J11,J20,J30)</f>
        <v>0</v>
      </c>
      <c r="K38" s="2">
        <f>(I38+J38)*-1</f>
        <v>0</v>
      </c>
    </row>
    <row r="39" spans="1:11" s="8" customFormat="1" x14ac:dyDescent="0.25">
      <c r="A39"/>
      <c r="B39"/>
      <c r="D39"/>
      <c r="E39"/>
      <c r="F39"/>
      <c r="H39" s="3"/>
    </row>
  </sheetData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E2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5" max="5" width="86.5703125" bestFit="1" customWidth="1"/>
    <col min="6" max="6" width="44" bestFit="1" customWidth="1"/>
  </cols>
  <sheetData>
    <row r="1" spans="1:5" x14ac:dyDescent="0.25">
      <c r="A1" s="8" t="s">
        <v>40</v>
      </c>
      <c r="B1" s="8" t="s">
        <v>39</v>
      </c>
      <c r="C1" s="8" t="s">
        <v>57</v>
      </c>
      <c r="D1" s="8" t="s">
        <v>35</v>
      </c>
      <c r="E1" s="8" t="s">
        <v>36</v>
      </c>
    </row>
    <row r="2" spans="1:5" x14ac:dyDescent="0.25">
      <c r="A2" s="8">
        <v>987654321</v>
      </c>
      <c r="B2" s="8" t="s">
        <v>47</v>
      </c>
      <c r="C2" s="8" t="s">
        <v>18</v>
      </c>
      <c r="D2" s="8">
        <v>12345</v>
      </c>
      <c r="E2" s="8" t="s">
        <v>119</v>
      </c>
    </row>
  </sheetData>
  <autoFilter ref="A1:E15051">
    <sortState ref="A2:E15051">
      <sortCondition ref="A1:A1505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"/>
  <sheetViews>
    <sheetView workbookViewId="0">
      <selection activeCell="A6" sqref="A6"/>
    </sheetView>
  </sheetViews>
  <sheetFormatPr defaultRowHeight="15" x14ac:dyDescent="0.25"/>
  <cols>
    <col min="1" max="1" width="9.140625" style="8"/>
  </cols>
  <sheetData>
    <row r="1" spans="1:3" x14ac:dyDescent="0.25">
      <c r="A1" s="8" t="s">
        <v>78</v>
      </c>
      <c r="B1" t="s">
        <v>80</v>
      </c>
      <c r="C1" t="s">
        <v>79</v>
      </c>
    </row>
    <row r="2" spans="1:3" x14ac:dyDescent="0.25">
      <c r="A2" s="8" t="s">
        <v>28</v>
      </c>
      <c r="B2" t="s">
        <v>81</v>
      </c>
      <c r="C2" t="s">
        <v>77</v>
      </c>
    </row>
    <row r="3" spans="1:3" x14ac:dyDescent="0.25">
      <c r="A3" s="8" t="s">
        <v>83</v>
      </c>
      <c r="B3" t="s">
        <v>84</v>
      </c>
      <c r="C3" t="s">
        <v>82</v>
      </c>
    </row>
    <row r="4" spans="1:3" x14ac:dyDescent="0.25">
      <c r="A4" s="8" t="s">
        <v>83</v>
      </c>
      <c r="B4" t="s">
        <v>85</v>
      </c>
      <c r="C4" t="s">
        <v>86</v>
      </c>
    </row>
    <row r="5" spans="1:3" x14ac:dyDescent="0.25">
      <c r="A5" s="8" t="s">
        <v>89</v>
      </c>
      <c r="B5" t="s">
        <v>87</v>
      </c>
      <c r="C5" t="s">
        <v>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78"/>
  <sheetViews>
    <sheetView workbookViewId="0">
      <selection activeCell="C7" sqref="C7"/>
    </sheetView>
  </sheetViews>
  <sheetFormatPr defaultRowHeight="15" x14ac:dyDescent="0.25"/>
  <cols>
    <col min="1" max="1" width="45.5703125" customWidth="1"/>
    <col min="2" max="2" width="16.28515625" style="10" bestFit="1" customWidth="1"/>
    <col min="3" max="3" width="12.5703125" style="10" customWidth="1"/>
    <col min="4" max="4" width="14.28515625" style="10" bestFit="1" customWidth="1"/>
    <col min="5" max="5" width="11.28515625" bestFit="1" customWidth="1"/>
  </cols>
  <sheetData>
    <row r="1" spans="1:4" x14ac:dyDescent="0.25">
      <c r="A1" s="15" t="s">
        <v>75</v>
      </c>
      <c r="B1" s="16" t="s">
        <v>74</v>
      </c>
      <c r="C1"/>
      <c r="D1"/>
    </row>
    <row r="2" spans="1:4" x14ac:dyDescent="0.25">
      <c r="B2" s="10" t="s">
        <v>76</v>
      </c>
      <c r="D2"/>
    </row>
    <row r="3" spans="1:4" x14ac:dyDescent="0.25">
      <c r="A3" s="15" t="s">
        <v>73</v>
      </c>
      <c r="B3" s="8" t="s">
        <v>115</v>
      </c>
      <c r="C3" s="8" t="s">
        <v>116</v>
      </c>
      <c r="D3"/>
    </row>
    <row r="4" spans="1:4" x14ac:dyDescent="0.25">
      <c r="A4" s="3" t="s">
        <v>16</v>
      </c>
      <c r="D4"/>
    </row>
    <row r="5" spans="1:4" x14ac:dyDescent="0.25">
      <c r="A5" s="4" t="s">
        <v>11</v>
      </c>
      <c r="D5"/>
    </row>
    <row r="6" spans="1:4" x14ac:dyDescent="0.25">
      <c r="A6" s="20" t="s">
        <v>69</v>
      </c>
      <c r="B6" s="10">
        <v>-18565.57</v>
      </c>
      <c r="C6" s="10">
        <v>-64134.319999999992</v>
      </c>
      <c r="D6"/>
    </row>
    <row r="7" spans="1:4" x14ac:dyDescent="0.25">
      <c r="A7" s="20" t="s">
        <v>72</v>
      </c>
      <c r="C7" s="10">
        <v>-346.38</v>
      </c>
      <c r="D7"/>
    </row>
    <row r="8" spans="1:4" x14ac:dyDescent="0.25">
      <c r="A8" s="20" t="s">
        <v>70</v>
      </c>
      <c r="C8" s="10">
        <v>-94703.619999999981</v>
      </c>
      <c r="D8"/>
    </row>
    <row r="9" spans="1:4" x14ac:dyDescent="0.25">
      <c r="A9" s="4" t="s">
        <v>6</v>
      </c>
      <c r="D9"/>
    </row>
    <row r="10" spans="1:4" x14ac:dyDescent="0.25">
      <c r="A10" s="20" t="s">
        <v>68</v>
      </c>
      <c r="C10" s="10">
        <v>-191.35999999999999</v>
      </c>
      <c r="D10"/>
    </row>
    <row r="11" spans="1:4" x14ac:dyDescent="0.25">
      <c r="A11" s="3" t="s">
        <v>19</v>
      </c>
      <c r="D11"/>
    </row>
    <row r="12" spans="1:4" x14ac:dyDescent="0.25">
      <c r="A12" s="4" t="s">
        <v>8</v>
      </c>
      <c r="D12"/>
    </row>
    <row r="13" spans="1:4" x14ac:dyDescent="0.25">
      <c r="A13" s="20" t="s">
        <v>66</v>
      </c>
      <c r="C13" s="10">
        <v>-352.62</v>
      </c>
      <c r="D13"/>
    </row>
    <row r="14" spans="1:4" x14ac:dyDescent="0.25">
      <c r="A14" s="3" t="s">
        <v>17</v>
      </c>
      <c r="D14"/>
    </row>
    <row r="15" spans="1:4" x14ac:dyDescent="0.25">
      <c r="A15" s="4" t="s">
        <v>18</v>
      </c>
      <c r="D15"/>
    </row>
    <row r="16" spans="1:4" x14ac:dyDescent="0.25">
      <c r="A16" s="20" t="s">
        <v>65</v>
      </c>
      <c r="C16" s="10">
        <v>-4274.62</v>
      </c>
      <c r="D16"/>
    </row>
    <row r="17" spans="1:4" x14ac:dyDescent="0.25">
      <c r="A17" s="4" t="s">
        <v>57</v>
      </c>
      <c r="D17"/>
    </row>
    <row r="18" spans="1:4" x14ac:dyDescent="0.25">
      <c r="A18" s="20" t="s">
        <v>114</v>
      </c>
      <c r="C18" s="10">
        <v>-2485.3399999999997</v>
      </c>
      <c r="D18"/>
    </row>
    <row r="19" spans="1:4" x14ac:dyDescent="0.25">
      <c r="A19" s="4" t="s">
        <v>12</v>
      </c>
      <c r="D19"/>
    </row>
    <row r="20" spans="1:4" x14ac:dyDescent="0.25">
      <c r="A20" s="20" t="s">
        <v>71</v>
      </c>
      <c r="B20" s="10">
        <v>-1865.2699999999993</v>
      </c>
      <c r="D20"/>
    </row>
    <row r="21" spans="1:4" x14ac:dyDescent="0.25">
      <c r="A21" s="3" t="s">
        <v>20</v>
      </c>
      <c r="D21"/>
    </row>
    <row r="22" spans="1:4" x14ac:dyDescent="0.25">
      <c r="A22" s="4" t="s">
        <v>23</v>
      </c>
      <c r="D22"/>
    </row>
    <row r="23" spans="1:4" x14ac:dyDescent="0.25">
      <c r="A23" s="20" t="s">
        <v>67</v>
      </c>
      <c r="B23" s="10">
        <v>-7060.27</v>
      </c>
      <c r="C23" s="10">
        <v>-233793.18999999997</v>
      </c>
      <c r="D23"/>
    </row>
    <row r="24" spans="1:4" x14ac:dyDescent="0.25">
      <c r="A24" s="20" t="s">
        <v>64</v>
      </c>
      <c r="B24" s="10">
        <v>-796.13000000000011</v>
      </c>
      <c r="D24"/>
    </row>
    <row r="25" spans="1:4" x14ac:dyDescent="0.25">
      <c r="A25" s="4" t="s">
        <v>51</v>
      </c>
      <c r="D25"/>
    </row>
    <row r="26" spans="1:4" x14ac:dyDescent="0.25">
      <c r="A26" s="20" t="s">
        <v>63</v>
      </c>
      <c r="B26" s="10">
        <v>-38226.619999999981</v>
      </c>
      <c r="C26" s="10">
        <v>-110177.43000000002</v>
      </c>
      <c r="D26"/>
    </row>
    <row r="27" spans="1:4" x14ac:dyDescent="0.25">
      <c r="A27" s="3" t="s">
        <v>15</v>
      </c>
      <c r="B27" s="10">
        <v>-66513.859999999986</v>
      </c>
      <c r="C27" s="10">
        <v>-510458.88</v>
      </c>
      <c r="D27"/>
    </row>
    <row r="28" spans="1:4" x14ac:dyDescent="0.25">
      <c r="B28"/>
      <c r="C28"/>
      <c r="D28"/>
    </row>
    <row r="29" spans="1:4" x14ac:dyDescent="0.25">
      <c r="B29"/>
      <c r="C29"/>
      <c r="D29"/>
    </row>
    <row r="30" spans="1:4" x14ac:dyDescent="0.25">
      <c r="B30"/>
      <c r="C30"/>
      <c r="D30"/>
    </row>
    <row r="31" spans="1:4" x14ac:dyDescent="0.25">
      <c r="B31"/>
      <c r="C31"/>
      <c r="D31"/>
    </row>
    <row r="32" spans="1:4" x14ac:dyDescent="0.25">
      <c r="B32"/>
      <c r="C32"/>
      <c r="D32"/>
    </row>
    <row r="33" spans="2:4" x14ac:dyDescent="0.25">
      <c r="B33"/>
      <c r="C33"/>
      <c r="D33"/>
    </row>
    <row r="34" spans="2:4" x14ac:dyDescent="0.25">
      <c r="B34"/>
      <c r="C34"/>
      <c r="D34"/>
    </row>
    <row r="35" spans="2:4" x14ac:dyDescent="0.25">
      <c r="B35"/>
      <c r="C35"/>
      <c r="D35"/>
    </row>
    <row r="36" spans="2:4" x14ac:dyDescent="0.25">
      <c r="B36"/>
      <c r="C36"/>
      <c r="D36"/>
    </row>
    <row r="37" spans="2:4" x14ac:dyDescent="0.25">
      <c r="B37"/>
      <c r="C37"/>
      <c r="D37"/>
    </row>
    <row r="38" spans="2:4" x14ac:dyDescent="0.25">
      <c r="B38"/>
      <c r="C38"/>
      <c r="D38"/>
    </row>
    <row r="39" spans="2:4" x14ac:dyDescent="0.25">
      <c r="B39"/>
      <c r="C39"/>
      <c r="D39"/>
    </row>
    <row r="40" spans="2:4" x14ac:dyDescent="0.25">
      <c r="B40"/>
      <c r="C40"/>
      <c r="D40"/>
    </row>
    <row r="41" spans="2:4" x14ac:dyDescent="0.25">
      <c r="B41"/>
      <c r="C41"/>
      <c r="D41"/>
    </row>
    <row r="42" spans="2:4" x14ac:dyDescent="0.25">
      <c r="B42"/>
      <c r="C42"/>
      <c r="D42"/>
    </row>
    <row r="43" spans="2:4" x14ac:dyDescent="0.25">
      <c r="B43"/>
      <c r="C43"/>
      <c r="D43"/>
    </row>
    <row r="44" spans="2:4" x14ac:dyDescent="0.25">
      <c r="B44"/>
      <c r="C44"/>
      <c r="D44"/>
    </row>
    <row r="45" spans="2:4" x14ac:dyDescent="0.25">
      <c r="B45"/>
      <c r="C45"/>
      <c r="D45"/>
    </row>
    <row r="46" spans="2:4" x14ac:dyDescent="0.25">
      <c r="B46"/>
      <c r="C46"/>
      <c r="D46"/>
    </row>
    <row r="47" spans="2:4" x14ac:dyDescent="0.25">
      <c r="B47"/>
      <c r="C47"/>
      <c r="D47"/>
    </row>
    <row r="48" spans="2:4" x14ac:dyDescent="0.25">
      <c r="B48"/>
      <c r="C48"/>
      <c r="D48"/>
    </row>
    <row r="49" spans="2:4" x14ac:dyDescent="0.25">
      <c r="B49"/>
      <c r="C49"/>
      <c r="D49"/>
    </row>
    <row r="50" spans="2:4" x14ac:dyDescent="0.25">
      <c r="B50"/>
      <c r="C50"/>
      <c r="D50"/>
    </row>
    <row r="51" spans="2:4" x14ac:dyDescent="0.25">
      <c r="B51"/>
      <c r="C51"/>
      <c r="D51"/>
    </row>
    <row r="52" spans="2:4" x14ac:dyDescent="0.25">
      <c r="B52"/>
      <c r="C52"/>
      <c r="D52"/>
    </row>
    <row r="53" spans="2:4" x14ac:dyDescent="0.25">
      <c r="B53"/>
      <c r="C53"/>
      <c r="D53"/>
    </row>
    <row r="54" spans="2:4" x14ac:dyDescent="0.25">
      <c r="B54"/>
      <c r="C54"/>
      <c r="D54"/>
    </row>
    <row r="55" spans="2:4" x14ac:dyDescent="0.25">
      <c r="B55"/>
      <c r="C55"/>
      <c r="D55"/>
    </row>
    <row r="56" spans="2:4" x14ac:dyDescent="0.25">
      <c r="B56"/>
      <c r="C56"/>
      <c r="D56"/>
    </row>
    <row r="57" spans="2:4" x14ac:dyDescent="0.25">
      <c r="B57"/>
      <c r="C57"/>
      <c r="D57"/>
    </row>
    <row r="58" spans="2:4" x14ac:dyDescent="0.25">
      <c r="B58"/>
      <c r="C58"/>
      <c r="D58"/>
    </row>
    <row r="59" spans="2:4" x14ac:dyDescent="0.25">
      <c r="B59"/>
      <c r="C59"/>
      <c r="D59"/>
    </row>
    <row r="60" spans="2:4" x14ac:dyDescent="0.25">
      <c r="B60"/>
      <c r="C60"/>
      <c r="D60"/>
    </row>
    <row r="61" spans="2:4" x14ac:dyDescent="0.25">
      <c r="B61"/>
      <c r="C61"/>
      <c r="D61"/>
    </row>
    <row r="62" spans="2:4" x14ac:dyDescent="0.25">
      <c r="B62"/>
      <c r="C62"/>
      <c r="D62"/>
    </row>
    <row r="63" spans="2:4" x14ac:dyDescent="0.25">
      <c r="B63"/>
      <c r="C63"/>
      <c r="D63"/>
    </row>
    <row r="64" spans="2:4" x14ac:dyDescent="0.25">
      <c r="B64"/>
      <c r="C64"/>
      <c r="D64"/>
    </row>
    <row r="65" spans="2:4" x14ac:dyDescent="0.25">
      <c r="B65"/>
      <c r="C65"/>
      <c r="D65"/>
    </row>
    <row r="66" spans="2:4" x14ac:dyDescent="0.25">
      <c r="B66"/>
      <c r="C66"/>
      <c r="D66"/>
    </row>
    <row r="67" spans="2:4" x14ac:dyDescent="0.25">
      <c r="B67"/>
      <c r="C67"/>
      <c r="D67"/>
    </row>
    <row r="68" spans="2:4" x14ac:dyDescent="0.25">
      <c r="B68"/>
      <c r="C68"/>
      <c r="D68"/>
    </row>
    <row r="69" spans="2:4" x14ac:dyDescent="0.25">
      <c r="B69"/>
      <c r="C69"/>
      <c r="D69"/>
    </row>
    <row r="70" spans="2:4" x14ac:dyDescent="0.25">
      <c r="B70"/>
      <c r="C70"/>
      <c r="D70"/>
    </row>
    <row r="71" spans="2:4" x14ac:dyDescent="0.25">
      <c r="B71"/>
      <c r="C71"/>
      <c r="D71"/>
    </row>
    <row r="72" spans="2:4" x14ac:dyDescent="0.25">
      <c r="B72"/>
      <c r="C72"/>
      <c r="D72"/>
    </row>
    <row r="73" spans="2:4" x14ac:dyDescent="0.25">
      <c r="B73"/>
      <c r="C73"/>
      <c r="D73"/>
    </row>
    <row r="74" spans="2:4" x14ac:dyDescent="0.25">
      <c r="B74"/>
      <c r="C74"/>
      <c r="D74"/>
    </row>
    <row r="75" spans="2:4" x14ac:dyDescent="0.25">
      <c r="B75"/>
      <c r="C75"/>
      <c r="D75"/>
    </row>
    <row r="76" spans="2:4" x14ac:dyDescent="0.25">
      <c r="B76"/>
      <c r="C76"/>
      <c r="D76"/>
    </row>
    <row r="77" spans="2:4" x14ac:dyDescent="0.25">
      <c r="B77"/>
      <c r="C77"/>
      <c r="D77"/>
    </row>
    <row r="78" spans="2:4" x14ac:dyDescent="0.25">
      <c r="B78"/>
      <c r="C78"/>
      <c r="D78"/>
    </row>
    <row r="79" spans="2:4" x14ac:dyDescent="0.25">
      <c r="B79"/>
      <c r="C79"/>
      <c r="D79"/>
    </row>
    <row r="80" spans="2:4" x14ac:dyDescent="0.25">
      <c r="B80"/>
      <c r="C80"/>
      <c r="D80"/>
    </row>
    <row r="81" spans="2:4" x14ac:dyDescent="0.25">
      <c r="B81"/>
      <c r="C81"/>
      <c r="D81"/>
    </row>
    <row r="82" spans="2:4" x14ac:dyDescent="0.25">
      <c r="B82"/>
      <c r="C82"/>
      <c r="D82"/>
    </row>
    <row r="83" spans="2:4" x14ac:dyDescent="0.25">
      <c r="B83"/>
      <c r="C83"/>
      <c r="D83"/>
    </row>
    <row r="84" spans="2:4" x14ac:dyDescent="0.25">
      <c r="B84"/>
      <c r="C84"/>
      <c r="D84"/>
    </row>
    <row r="85" spans="2:4" x14ac:dyDescent="0.25">
      <c r="B85"/>
      <c r="C85"/>
      <c r="D85"/>
    </row>
    <row r="86" spans="2:4" x14ac:dyDescent="0.25">
      <c r="B86"/>
      <c r="C86"/>
      <c r="D86"/>
    </row>
    <row r="87" spans="2:4" x14ac:dyDescent="0.25">
      <c r="B87"/>
      <c r="C87"/>
      <c r="D87"/>
    </row>
    <row r="88" spans="2:4" x14ac:dyDescent="0.25">
      <c r="B88"/>
      <c r="C88"/>
      <c r="D88"/>
    </row>
    <row r="89" spans="2:4" x14ac:dyDescent="0.25">
      <c r="B89"/>
      <c r="C89"/>
      <c r="D89"/>
    </row>
    <row r="90" spans="2:4" x14ac:dyDescent="0.25">
      <c r="B90"/>
      <c r="C90"/>
      <c r="D90"/>
    </row>
    <row r="91" spans="2:4" x14ac:dyDescent="0.25">
      <c r="B91"/>
      <c r="C91"/>
      <c r="D91"/>
    </row>
    <row r="92" spans="2:4" x14ac:dyDescent="0.25">
      <c r="B92"/>
      <c r="C92"/>
      <c r="D92"/>
    </row>
    <row r="93" spans="2:4" x14ac:dyDescent="0.25">
      <c r="B93"/>
      <c r="C93"/>
      <c r="D93"/>
    </row>
    <row r="94" spans="2:4" x14ac:dyDescent="0.25">
      <c r="B94"/>
      <c r="C94"/>
      <c r="D94"/>
    </row>
    <row r="95" spans="2:4" x14ac:dyDescent="0.25">
      <c r="B95"/>
      <c r="C95"/>
      <c r="D95"/>
    </row>
    <row r="96" spans="2:4" x14ac:dyDescent="0.25">
      <c r="B96"/>
      <c r="C96"/>
      <c r="D96"/>
    </row>
    <row r="97" spans="2:4" x14ac:dyDescent="0.25">
      <c r="B97"/>
      <c r="C97"/>
      <c r="D97"/>
    </row>
    <row r="98" spans="2:4" x14ac:dyDescent="0.25">
      <c r="B98"/>
      <c r="C98"/>
      <c r="D98"/>
    </row>
    <row r="99" spans="2:4" x14ac:dyDescent="0.25">
      <c r="B99"/>
      <c r="C99"/>
      <c r="D99"/>
    </row>
    <row r="100" spans="2:4" x14ac:dyDescent="0.25">
      <c r="B100"/>
      <c r="C100"/>
      <c r="D100"/>
    </row>
    <row r="101" spans="2:4" x14ac:dyDescent="0.25">
      <c r="B101"/>
      <c r="C101"/>
      <c r="D101"/>
    </row>
    <row r="102" spans="2:4" x14ac:dyDescent="0.25">
      <c r="B102"/>
      <c r="C102"/>
      <c r="D102"/>
    </row>
    <row r="103" spans="2:4" x14ac:dyDescent="0.25">
      <c r="B103"/>
      <c r="C103"/>
      <c r="D103"/>
    </row>
    <row r="104" spans="2:4" x14ac:dyDescent="0.25">
      <c r="B104"/>
      <c r="C104"/>
      <c r="D104"/>
    </row>
    <row r="105" spans="2:4" x14ac:dyDescent="0.25">
      <c r="B105"/>
      <c r="C105"/>
      <c r="D105"/>
    </row>
    <row r="106" spans="2:4" x14ac:dyDescent="0.25">
      <c r="B106"/>
      <c r="C106"/>
      <c r="D106"/>
    </row>
    <row r="107" spans="2:4" x14ac:dyDescent="0.25">
      <c r="B107"/>
      <c r="C107"/>
      <c r="D107"/>
    </row>
    <row r="108" spans="2:4" x14ac:dyDescent="0.25">
      <c r="B108"/>
      <c r="C108"/>
      <c r="D108"/>
    </row>
    <row r="109" spans="2:4" x14ac:dyDescent="0.25">
      <c r="B109"/>
      <c r="C109"/>
      <c r="D109"/>
    </row>
    <row r="110" spans="2:4" x14ac:dyDescent="0.25">
      <c r="B110"/>
      <c r="C110"/>
      <c r="D110"/>
    </row>
    <row r="111" spans="2:4" x14ac:dyDescent="0.25">
      <c r="B111"/>
      <c r="C111"/>
      <c r="D111"/>
    </row>
    <row r="112" spans="2:4" x14ac:dyDescent="0.25">
      <c r="B112"/>
      <c r="C112"/>
      <c r="D112"/>
    </row>
    <row r="113" spans="2:4" x14ac:dyDescent="0.25">
      <c r="B113"/>
      <c r="C113"/>
      <c r="D113"/>
    </row>
    <row r="114" spans="2:4" x14ac:dyDescent="0.25">
      <c r="B114"/>
      <c r="C114"/>
      <c r="D114"/>
    </row>
    <row r="115" spans="2:4" x14ac:dyDescent="0.25">
      <c r="B115"/>
      <c r="C115"/>
      <c r="D115"/>
    </row>
    <row r="116" spans="2:4" x14ac:dyDescent="0.25">
      <c r="B116"/>
      <c r="C116"/>
      <c r="D116"/>
    </row>
    <row r="117" spans="2:4" x14ac:dyDescent="0.25">
      <c r="B117"/>
      <c r="C117"/>
      <c r="D117"/>
    </row>
    <row r="118" spans="2:4" x14ac:dyDescent="0.25">
      <c r="B118"/>
      <c r="C118"/>
      <c r="D118"/>
    </row>
    <row r="119" spans="2:4" x14ac:dyDescent="0.25">
      <c r="B119"/>
      <c r="C119"/>
      <c r="D119"/>
    </row>
    <row r="120" spans="2:4" x14ac:dyDescent="0.25">
      <c r="B120"/>
      <c r="C120"/>
      <c r="D120"/>
    </row>
    <row r="121" spans="2:4" x14ac:dyDescent="0.25">
      <c r="B121"/>
      <c r="C121"/>
      <c r="D121"/>
    </row>
    <row r="122" spans="2:4" x14ac:dyDescent="0.25">
      <c r="B122"/>
      <c r="C122"/>
      <c r="D122"/>
    </row>
    <row r="123" spans="2:4" x14ac:dyDescent="0.25">
      <c r="B123"/>
      <c r="C123"/>
      <c r="D123"/>
    </row>
    <row r="124" spans="2:4" x14ac:dyDescent="0.25">
      <c r="B124"/>
      <c r="C124"/>
      <c r="D124"/>
    </row>
    <row r="125" spans="2:4" x14ac:dyDescent="0.25">
      <c r="B125"/>
      <c r="C125"/>
      <c r="D125"/>
    </row>
    <row r="126" spans="2:4" x14ac:dyDescent="0.25">
      <c r="B126"/>
      <c r="C126"/>
      <c r="D126"/>
    </row>
    <row r="127" spans="2:4" x14ac:dyDescent="0.25">
      <c r="B127"/>
      <c r="C127"/>
      <c r="D127"/>
    </row>
    <row r="128" spans="2:4" x14ac:dyDescent="0.25">
      <c r="B128"/>
      <c r="C128"/>
      <c r="D128"/>
    </row>
    <row r="129" spans="2:4" x14ac:dyDescent="0.25">
      <c r="B129"/>
      <c r="C129"/>
      <c r="D129"/>
    </row>
    <row r="130" spans="2:4" x14ac:dyDescent="0.25">
      <c r="B130"/>
      <c r="C130"/>
      <c r="D130"/>
    </row>
    <row r="131" spans="2:4" x14ac:dyDescent="0.25">
      <c r="B131"/>
      <c r="C131"/>
      <c r="D131"/>
    </row>
    <row r="132" spans="2:4" x14ac:dyDescent="0.25">
      <c r="B132"/>
      <c r="C132"/>
      <c r="D132"/>
    </row>
    <row r="133" spans="2:4" x14ac:dyDescent="0.25">
      <c r="B133"/>
      <c r="C133"/>
      <c r="D133"/>
    </row>
    <row r="134" spans="2:4" x14ac:dyDescent="0.25">
      <c r="B134"/>
      <c r="C134"/>
      <c r="D134"/>
    </row>
    <row r="135" spans="2:4" x14ac:dyDescent="0.25">
      <c r="B135"/>
      <c r="C135"/>
      <c r="D135"/>
    </row>
    <row r="136" spans="2:4" x14ac:dyDescent="0.25">
      <c r="B136"/>
      <c r="C136"/>
      <c r="D136"/>
    </row>
    <row r="137" spans="2:4" x14ac:dyDescent="0.25">
      <c r="B137"/>
      <c r="C137"/>
      <c r="D137"/>
    </row>
    <row r="138" spans="2:4" x14ac:dyDescent="0.25">
      <c r="B138"/>
      <c r="C138"/>
      <c r="D138"/>
    </row>
    <row r="139" spans="2:4" x14ac:dyDescent="0.25">
      <c r="B139"/>
      <c r="C139"/>
      <c r="D139"/>
    </row>
    <row r="140" spans="2:4" x14ac:dyDescent="0.25">
      <c r="B140"/>
      <c r="C140"/>
      <c r="D140"/>
    </row>
    <row r="141" spans="2:4" x14ac:dyDescent="0.25">
      <c r="B141"/>
      <c r="C141"/>
      <c r="D141"/>
    </row>
    <row r="142" spans="2:4" x14ac:dyDescent="0.25">
      <c r="B142"/>
      <c r="C142"/>
      <c r="D142"/>
    </row>
    <row r="143" spans="2:4" x14ac:dyDescent="0.25">
      <c r="B143"/>
      <c r="C143"/>
      <c r="D143"/>
    </row>
    <row r="144" spans="2:4" x14ac:dyDescent="0.25">
      <c r="B144"/>
      <c r="C144"/>
      <c r="D144"/>
    </row>
    <row r="145" spans="2:4" x14ac:dyDescent="0.25">
      <c r="B145"/>
      <c r="C145"/>
      <c r="D145"/>
    </row>
    <row r="146" spans="2:4" x14ac:dyDescent="0.25">
      <c r="B146"/>
      <c r="C146"/>
      <c r="D146"/>
    </row>
    <row r="147" spans="2:4" x14ac:dyDescent="0.25">
      <c r="B147"/>
      <c r="C147"/>
      <c r="D147"/>
    </row>
    <row r="148" spans="2:4" x14ac:dyDescent="0.25">
      <c r="B148"/>
      <c r="C148"/>
      <c r="D148"/>
    </row>
    <row r="149" spans="2:4" x14ac:dyDescent="0.25">
      <c r="B149"/>
      <c r="C149"/>
      <c r="D149"/>
    </row>
    <row r="150" spans="2:4" x14ac:dyDescent="0.25">
      <c r="B150"/>
      <c r="C150"/>
      <c r="D150"/>
    </row>
    <row r="151" spans="2:4" x14ac:dyDescent="0.25">
      <c r="B151"/>
      <c r="C151"/>
      <c r="D151"/>
    </row>
    <row r="152" spans="2:4" x14ac:dyDescent="0.25">
      <c r="B152"/>
      <c r="C152"/>
      <c r="D152"/>
    </row>
    <row r="153" spans="2:4" x14ac:dyDescent="0.25">
      <c r="B153"/>
      <c r="C153"/>
      <c r="D153"/>
    </row>
    <row r="154" spans="2:4" x14ac:dyDescent="0.25">
      <c r="B154"/>
      <c r="C154"/>
      <c r="D154"/>
    </row>
    <row r="155" spans="2:4" x14ac:dyDescent="0.25">
      <c r="B155"/>
      <c r="C155"/>
      <c r="D155"/>
    </row>
    <row r="156" spans="2:4" x14ac:dyDescent="0.25">
      <c r="B156"/>
      <c r="C156"/>
      <c r="D156"/>
    </row>
    <row r="157" spans="2:4" x14ac:dyDescent="0.25">
      <c r="B157"/>
      <c r="C157"/>
      <c r="D157"/>
    </row>
    <row r="158" spans="2:4" x14ac:dyDescent="0.25">
      <c r="B158"/>
      <c r="C158"/>
      <c r="D158"/>
    </row>
    <row r="159" spans="2:4" x14ac:dyDescent="0.25">
      <c r="B159"/>
      <c r="C159"/>
      <c r="D159"/>
    </row>
    <row r="160" spans="2:4" x14ac:dyDescent="0.25">
      <c r="B160"/>
      <c r="C160"/>
      <c r="D160"/>
    </row>
    <row r="161" spans="2:4" x14ac:dyDescent="0.25">
      <c r="B161"/>
      <c r="C161"/>
      <c r="D161"/>
    </row>
    <row r="162" spans="2:4" x14ac:dyDescent="0.25">
      <c r="B162"/>
      <c r="C162"/>
      <c r="D162"/>
    </row>
    <row r="163" spans="2:4" x14ac:dyDescent="0.25">
      <c r="B163"/>
      <c r="C163"/>
      <c r="D163"/>
    </row>
    <row r="164" spans="2:4" x14ac:dyDescent="0.25">
      <c r="B164"/>
      <c r="C164"/>
      <c r="D164"/>
    </row>
    <row r="165" spans="2:4" x14ac:dyDescent="0.25">
      <c r="B165"/>
      <c r="C165"/>
      <c r="D165"/>
    </row>
    <row r="166" spans="2:4" x14ac:dyDescent="0.25">
      <c r="B166"/>
      <c r="C166"/>
      <c r="D166"/>
    </row>
    <row r="167" spans="2:4" x14ac:dyDescent="0.25">
      <c r="B167"/>
      <c r="C167"/>
      <c r="D167"/>
    </row>
    <row r="168" spans="2:4" x14ac:dyDescent="0.25">
      <c r="B168"/>
      <c r="C168"/>
      <c r="D168"/>
    </row>
    <row r="169" spans="2:4" x14ac:dyDescent="0.25">
      <c r="B169"/>
      <c r="C169"/>
      <c r="D169"/>
    </row>
    <row r="170" spans="2:4" x14ac:dyDescent="0.25">
      <c r="B170"/>
      <c r="C170"/>
      <c r="D170"/>
    </row>
    <row r="171" spans="2:4" x14ac:dyDescent="0.25">
      <c r="B171"/>
      <c r="C171"/>
      <c r="D171"/>
    </row>
    <row r="172" spans="2:4" x14ac:dyDescent="0.25">
      <c r="B172"/>
      <c r="C172"/>
      <c r="D172"/>
    </row>
    <row r="173" spans="2:4" x14ac:dyDescent="0.25">
      <c r="B173"/>
      <c r="C173"/>
      <c r="D173"/>
    </row>
    <row r="174" spans="2:4" x14ac:dyDescent="0.25">
      <c r="B174"/>
      <c r="C174"/>
      <c r="D174"/>
    </row>
    <row r="175" spans="2:4" x14ac:dyDescent="0.25">
      <c r="B175"/>
      <c r="C175"/>
      <c r="D175"/>
    </row>
    <row r="176" spans="2:4" x14ac:dyDescent="0.25">
      <c r="B176"/>
      <c r="C176"/>
      <c r="D176"/>
    </row>
    <row r="177" spans="2:4" x14ac:dyDescent="0.25">
      <c r="B177"/>
      <c r="C177"/>
      <c r="D177"/>
    </row>
    <row r="178" spans="2:4" x14ac:dyDescent="0.25">
      <c r="B178"/>
      <c r="C178"/>
      <c r="D178"/>
    </row>
    <row r="179" spans="2:4" x14ac:dyDescent="0.25">
      <c r="B179"/>
      <c r="C179"/>
      <c r="D179"/>
    </row>
    <row r="180" spans="2:4" x14ac:dyDescent="0.25">
      <c r="B180"/>
      <c r="C180"/>
      <c r="D180"/>
    </row>
    <row r="181" spans="2:4" x14ac:dyDescent="0.25">
      <c r="B181"/>
      <c r="C181"/>
      <c r="D181"/>
    </row>
    <row r="182" spans="2:4" x14ac:dyDescent="0.25">
      <c r="B182"/>
      <c r="C182"/>
      <c r="D182"/>
    </row>
    <row r="183" spans="2:4" x14ac:dyDescent="0.25">
      <c r="B183"/>
      <c r="C183"/>
      <c r="D183"/>
    </row>
    <row r="184" spans="2:4" x14ac:dyDescent="0.25">
      <c r="B184"/>
      <c r="C184"/>
      <c r="D184"/>
    </row>
    <row r="185" spans="2:4" x14ac:dyDescent="0.25">
      <c r="B185"/>
      <c r="C185"/>
      <c r="D185"/>
    </row>
    <row r="186" spans="2:4" x14ac:dyDescent="0.25">
      <c r="B186"/>
      <c r="C186"/>
      <c r="D186"/>
    </row>
    <row r="187" spans="2:4" x14ac:dyDescent="0.25">
      <c r="B187"/>
      <c r="C187"/>
      <c r="D187"/>
    </row>
    <row r="188" spans="2:4" x14ac:dyDescent="0.25">
      <c r="B188"/>
      <c r="C188"/>
      <c r="D188"/>
    </row>
    <row r="189" spans="2:4" x14ac:dyDescent="0.25">
      <c r="B189"/>
      <c r="C189"/>
      <c r="D189"/>
    </row>
    <row r="190" spans="2:4" x14ac:dyDescent="0.25">
      <c r="B190"/>
      <c r="C190"/>
      <c r="D190"/>
    </row>
    <row r="191" spans="2:4" x14ac:dyDescent="0.25">
      <c r="B191"/>
      <c r="C191"/>
      <c r="D191"/>
    </row>
    <row r="192" spans="2:4" x14ac:dyDescent="0.25">
      <c r="B192"/>
      <c r="C192"/>
      <c r="D192"/>
    </row>
    <row r="193" spans="2:4" x14ac:dyDescent="0.25">
      <c r="B193"/>
      <c r="C193"/>
      <c r="D193"/>
    </row>
    <row r="194" spans="2:4" x14ac:dyDescent="0.25">
      <c r="B194"/>
      <c r="C194"/>
      <c r="D194"/>
    </row>
    <row r="195" spans="2:4" x14ac:dyDescent="0.25">
      <c r="B195"/>
      <c r="C195"/>
      <c r="D195"/>
    </row>
    <row r="196" spans="2:4" x14ac:dyDescent="0.25">
      <c r="B196"/>
      <c r="C196"/>
      <c r="D196"/>
    </row>
    <row r="197" spans="2:4" x14ac:dyDescent="0.25">
      <c r="B197"/>
      <c r="C197"/>
      <c r="D197"/>
    </row>
    <row r="198" spans="2:4" x14ac:dyDescent="0.25">
      <c r="B198"/>
      <c r="C198"/>
      <c r="D198"/>
    </row>
    <row r="199" spans="2:4" x14ac:dyDescent="0.25">
      <c r="B199"/>
      <c r="C199"/>
      <c r="D199"/>
    </row>
    <row r="200" spans="2:4" x14ac:dyDescent="0.25">
      <c r="B200"/>
      <c r="C200"/>
      <c r="D200"/>
    </row>
    <row r="201" spans="2:4" x14ac:dyDescent="0.25">
      <c r="B201"/>
      <c r="C201"/>
      <c r="D201"/>
    </row>
    <row r="202" spans="2:4" x14ac:dyDescent="0.25">
      <c r="B202"/>
      <c r="C202"/>
      <c r="D202"/>
    </row>
    <row r="203" spans="2:4" x14ac:dyDescent="0.25">
      <c r="B203"/>
      <c r="C203"/>
      <c r="D203"/>
    </row>
    <row r="204" spans="2:4" x14ac:dyDescent="0.25">
      <c r="B204"/>
      <c r="C204"/>
      <c r="D204"/>
    </row>
    <row r="205" spans="2:4" x14ac:dyDescent="0.25">
      <c r="B205"/>
      <c r="C205"/>
      <c r="D205"/>
    </row>
    <row r="206" spans="2:4" x14ac:dyDescent="0.25">
      <c r="B206"/>
      <c r="C206"/>
      <c r="D206"/>
    </row>
    <row r="207" spans="2:4" x14ac:dyDescent="0.25">
      <c r="B207"/>
      <c r="C207"/>
      <c r="D207"/>
    </row>
    <row r="208" spans="2:4" x14ac:dyDescent="0.25">
      <c r="B208"/>
      <c r="C208"/>
      <c r="D208"/>
    </row>
    <row r="209" spans="2:4" x14ac:dyDescent="0.25">
      <c r="B209"/>
      <c r="C209"/>
      <c r="D209"/>
    </row>
    <row r="210" spans="2:4" x14ac:dyDescent="0.25">
      <c r="B210"/>
      <c r="C210"/>
      <c r="D210"/>
    </row>
    <row r="211" spans="2:4" x14ac:dyDescent="0.25">
      <c r="B211"/>
      <c r="C211"/>
      <c r="D211"/>
    </row>
    <row r="212" spans="2:4" x14ac:dyDescent="0.25">
      <c r="B212"/>
      <c r="C212"/>
      <c r="D212"/>
    </row>
    <row r="213" spans="2:4" x14ac:dyDescent="0.25">
      <c r="B213"/>
      <c r="C213"/>
      <c r="D213"/>
    </row>
    <row r="214" spans="2:4" x14ac:dyDescent="0.25">
      <c r="B214"/>
      <c r="C214"/>
      <c r="D214"/>
    </row>
    <row r="215" spans="2:4" x14ac:dyDescent="0.25">
      <c r="B215"/>
      <c r="C215"/>
      <c r="D215"/>
    </row>
    <row r="216" spans="2:4" x14ac:dyDescent="0.25">
      <c r="B216"/>
      <c r="C216"/>
      <c r="D216"/>
    </row>
    <row r="217" spans="2:4" x14ac:dyDescent="0.25">
      <c r="B217"/>
      <c r="C217"/>
      <c r="D217"/>
    </row>
    <row r="218" spans="2:4" x14ac:dyDescent="0.25">
      <c r="B218"/>
      <c r="C218"/>
      <c r="D218"/>
    </row>
    <row r="219" spans="2:4" x14ac:dyDescent="0.25">
      <c r="B219"/>
      <c r="C219"/>
      <c r="D219"/>
    </row>
    <row r="220" spans="2:4" x14ac:dyDescent="0.25">
      <c r="B220"/>
      <c r="C220"/>
      <c r="D220"/>
    </row>
    <row r="221" spans="2:4" x14ac:dyDescent="0.25">
      <c r="B221"/>
      <c r="C221"/>
      <c r="D221"/>
    </row>
    <row r="222" spans="2:4" x14ac:dyDescent="0.25">
      <c r="B222"/>
      <c r="C222"/>
      <c r="D222"/>
    </row>
    <row r="223" spans="2:4" x14ac:dyDescent="0.25">
      <c r="B223"/>
      <c r="C223"/>
      <c r="D223"/>
    </row>
    <row r="224" spans="2:4" x14ac:dyDescent="0.25">
      <c r="B224"/>
      <c r="C224"/>
      <c r="D224"/>
    </row>
    <row r="225" spans="2:4" x14ac:dyDescent="0.25">
      <c r="B225"/>
      <c r="C225"/>
      <c r="D225"/>
    </row>
    <row r="226" spans="2:4" x14ac:dyDescent="0.25">
      <c r="B226"/>
      <c r="C226"/>
      <c r="D226"/>
    </row>
    <row r="227" spans="2:4" x14ac:dyDescent="0.25">
      <c r="B227"/>
      <c r="C227"/>
      <c r="D227"/>
    </row>
    <row r="228" spans="2:4" x14ac:dyDescent="0.25">
      <c r="B228"/>
      <c r="C228"/>
      <c r="D228"/>
    </row>
    <row r="229" spans="2:4" x14ac:dyDescent="0.25">
      <c r="B229"/>
      <c r="C229"/>
      <c r="D229"/>
    </row>
    <row r="230" spans="2:4" x14ac:dyDescent="0.25">
      <c r="B230"/>
      <c r="C230"/>
      <c r="D230"/>
    </row>
    <row r="231" spans="2:4" x14ac:dyDescent="0.25">
      <c r="B231"/>
      <c r="C231"/>
      <c r="D231"/>
    </row>
    <row r="232" spans="2:4" x14ac:dyDescent="0.25">
      <c r="B232"/>
      <c r="C232"/>
      <c r="D232"/>
    </row>
    <row r="233" spans="2:4" x14ac:dyDescent="0.25">
      <c r="B233"/>
      <c r="C233"/>
      <c r="D233"/>
    </row>
    <row r="234" spans="2:4" x14ac:dyDescent="0.25">
      <c r="B234"/>
      <c r="C234"/>
      <c r="D234"/>
    </row>
    <row r="235" spans="2:4" x14ac:dyDescent="0.25">
      <c r="B235"/>
      <c r="C235"/>
      <c r="D235"/>
    </row>
    <row r="236" spans="2:4" x14ac:dyDescent="0.25">
      <c r="B236"/>
      <c r="C236"/>
      <c r="D236"/>
    </row>
    <row r="237" spans="2:4" x14ac:dyDescent="0.25">
      <c r="B237"/>
      <c r="C237"/>
      <c r="D237"/>
    </row>
    <row r="238" spans="2:4" x14ac:dyDescent="0.25">
      <c r="B238"/>
      <c r="C238"/>
      <c r="D238"/>
    </row>
    <row r="239" spans="2:4" x14ac:dyDescent="0.25">
      <c r="B239"/>
      <c r="C239"/>
      <c r="D239"/>
    </row>
    <row r="240" spans="2:4" x14ac:dyDescent="0.25">
      <c r="B240"/>
      <c r="C240"/>
      <c r="D240"/>
    </row>
    <row r="241" spans="2:4" x14ac:dyDescent="0.25">
      <c r="B241"/>
      <c r="C241"/>
      <c r="D241"/>
    </row>
    <row r="242" spans="2:4" x14ac:dyDescent="0.25">
      <c r="B242"/>
      <c r="C242"/>
      <c r="D242"/>
    </row>
    <row r="243" spans="2:4" x14ac:dyDescent="0.25">
      <c r="B243"/>
      <c r="C243"/>
      <c r="D243"/>
    </row>
    <row r="244" spans="2:4" x14ac:dyDescent="0.25">
      <c r="B244"/>
      <c r="C244"/>
      <c r="D244"/>
    </row>
    <row r="245" spans="2:4" x14ac:dyDescent="0.25">
      <c r="B245"/>
      <c r="C245"/>
      <c r="D245"/>
    </row>
    <row r="246" spans="2:4" x14ac:dyDescent="0.25">
      <c r="B246"/>
      <c r="C246"/>
      <c r="D246"/>
    </row>
    <row r="247" spans="2:4" x14ac:dyDescent="0.25">
      <c r="B247"/>
      <c r="C247"/>
      <c r="D247"/>
    </row>
    <row r="248" spans="2:4" x14ac:dyDescent="0.25">
      <c r="B248"/>
      <c r="C248"/>
      <c r="D248"/>
    </row>
    <row r="249" spans="2:4" x14ac:dyDescent="0.25">
      <c r="B249"/>
      <c r="C249"/>
      <c r="D249"/>
    </row>
    <row r="250" spans="2:4" x14ac:dyDescent="0.25">
      <c r="B250"/>
      <c r="C250"/>
      <c r="D250"/>
    </row>
    <row r="251" spans="2:4" x14ac:dyDescent="0.25">
      <c r="B251"/>
      <c r="C251"/>
      <c r="D251"/>
    </row>
    <row r="252" spans="2:4" x14ac:dyDescent="0.25">
      <c r="B252"/>
      <c r="C252"/>
      <c r="D252"/>
    </row>
    <row r="253" spans="2:4" x14ac:dyDescent="0.25">
      <c r="B253"/>
      <c r="C253"/>
      <c r="D253"/>
    </row>
    <row r="254" spans="2:4" x14ac:dyDescent="0.25">
      <c r="B254"/>
      <c r="C254"/>
      <c r="D254"/>
    </row>
    <row r="255" spans="2:4" x14ac:dyDescent="0.25">
      <c r="B255"/>
      <c r="C255"/>
      <c r="D255"/>
    </row>
    <row r="256" spans="2:4" x14ac:dyDescent="0.25">
      <c r="B256"/>
      <c r="C256"/>
      <c r="D256"/>
    </row>
    <row r="257" spans="2:4" x14ac:dyDescent="0.25">
      <c r="B257"/>
      <c r="C257"/>
      <c r="D257"/>
    </row>
    <row r="258" spans="2:4" x14ac:dyDescent="0.25">
      <c r="B258"/>
      <c r="C258"/>
      <c r="D258"/>
    </row>
    <row r="259" spans="2:4" x14ac:dyDescent="0.25">
      <c r="B259"/>
      <c r="C259"/>
      <c r="D259"/>
    </row>
    <row r="260" spans="2:4" x14ac:dyDescent="0.25">
      <c r="B260"/>
      <c r="C260"/>
      <c r="D260"/>
    </row>
    <row r="261" spans="2:4" x14ac:dyDescent="0.25">
      <c r="B261"/>
      <c r="C261"/>
      <c r="D261"/>
    </row>
    <row r="262" spans="2:4" x14ac:dyDescent="0.25">
      <c r="B262"/>
      <c r="C262"/>
      <c r="D262"/>
    </row>
    <row r="263" spans="2:4" x14ac:dyDescent="0.25">
      <c r="B263"/>
      <c r="C263"/>
      <c r="D263"/>
    </row>
    <row r="264" spans="2:4" x14ac:dyDescent="0.25">
      <c r="B264"/>
      <c r="C264"/>
      <c r="D264"/>
    </row>
    <row r="265" spans="2:4" x14ac:dyDescent="0.25">
      <c r="B265"/>
      <c r="C265"/>
      <c r="D265"/>
    </row>
    <row r="266" spans="2:4" x14ac:dyDescent="0.25">
      <c r="B266"/>
      <c r="C266"/>
      <c r="D266"/>
    </row>
    <row r="267" spans="2:4" x14ac:dyDescent="0.25">
      <c r="B267"/>
      <c r="C267"/>
      <c r="D267"/>
    </row>
    <row r="268" spans="2:4" x14ac:dyDescent="0.25">
      <c r="B268"/>
      <c r="C268"/>
      <c r="D268"/>
    </row>
    <row r="269" spans="2:4" x14ac:dyDescent="0.25">
      <c r="B269"/>
      <c r="C269"/>
      <c r="D269"/>
    </row>
    <row r="270" spans="2:4" x14ac:dyDescent="0.25">
      <c r="B270"/>
      <c r="C270"/>
      <c r="D270"/>
    </row>
    <row r="271" spans="2:4" x14ac:dyDescent="0.25">
      <c r="B271"/>
      <c r="C271"/>
      <c r="D271"/>
    </row>
    <row r="272" spans="2:4" x14ac:dyDescent="0.25">
      <c r="B272"/>
      <c r="C272"/>
      <c r="D272"/>
    </row>
    <row r="273" spans="2:4" x14ac:dyDescent="0.25">
      <c r="B273"/>
      <c r="C273"/>
      <c r="D273"/>
    </row>
    <row r="274" spans="2:4" x14ac:dyDescent="0.25">
      <c r="B274"/>
      <c r="C274"/>
      <c r="D274"/>
    </row>
    <row r="275" spans="2:4" x14ac:dyDescent="0.25">
      <c r="B275"/>
      <c r="C275"/>
      <c r="D275"/>
    </row>
    <row r="276" spans="2:4" x14ac:dyDescent="0.25">
      <c r="B276"/>
      <c r="C276"/>
      <c r="D276"/>
    </row>
    <row r="277" spans="2:4" x14ac:dyDescent="0.25">
      <c r="B277"/>
      <c r="C277"/>
      <c r="D277"/>
    </row>
    <row r="278" spans="2:4" x14ac:dyDescent="0.25">
      <c r="B278"/>
      <c r="C278"/>
      <c r="D27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Provider</vt:lpstr>
      <vt:lpstr>EPN PPN Provider</vt:lpstr>
      <vt:lpstr>RAM</vt:lpstr>
      <vt:lpstr>Lock Box</vt:lpstr>
      <vt:lpstr>BC IL</vt:lpstr>
      <vt:lpstr>Pre Paid Clients</vt:lpstr>
      <vt:lpstr>DM PPN</vt:lpstr>
      <vt:lpstr>Global RAM List</vt:lpstr>
      <vt:lpstr>CB Sheet</vt:lpstr>
      <vt:lpstr>TINS</vt:lpstr>
      <vt:lpstr>Formulas</vt:lpstr>
      <vt:lpstr>OGS Provider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</dc:creator>
  <cp:lastModifiedBy>Danny Curtis</cp:lastModifiedBy>
  <dcterms:created xsi:type="dcterms:W3CDTF">2014-09-18T13:21:38Z</dcterms:created>
  <dcterms:modified xsi:type="dcterms:W3CDTF">2020-02-11T18:27:54Z</dcterms:modified>
</cp:coreProperties>
</file>