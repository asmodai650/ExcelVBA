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720" yWindow="600" windowWidth="17955" windowHeight="10845" tabRatio="776"/>
  </bookViews>
  <sheets>
    <sheet name="Paste Live Claim IDs Here" sheetId="1" r:id="rId1"/>
    <sheet name="Paste PPN Paid &amp; Unpaid Here" sheetId="2" r:id="rId2"/>
    <sheet name="PPN Client Crosswalk" sheetId="4" r:id="rId3"/>
    <sheet name="Paste Claim to close in FACS" sheetId="3" r:id="rId4"/>
  </sheets>
  <definedNames>
    <definedName name="_xlnm._FilterDatabase" localSheetId="0" hidden="1">'Paste Live Claim IDs Here'!$A$9:$AT$9</definedName>
    <definedName name="_xlnm._FilterDatabase" localSheetId="1" hidden="1">'Paste PPN Paid &amp; Unpaid Here'!$A$4:$BD$4</definedName>
  </definedNames>
  <calcPr calcId="162913"/>
</workbook>
</file>

<file path=xl/calcChain.xml><?xml version="1.0" encoding="utf-8"?>
<calcChain xmlns="http://schemas.openxmlformats.org/spreadsheetml/2006/main">
  <c r="AR6" i="1" l="1"/>
  <c r="AR4" i="1"/>
  <c r="AT6" i="1" l="1"/>
  <c r="AN6" i="1"/>
  <c r="AM6" i="1"/>
  <c r="AK6" i="1"/>
  <c r="AH6" i="1"/>
  <c r="AG6" i="1"/>
  <c r="AF6" i="1"/>
  <c r="AB6" i="1"/>
  <c r="AA6" i="1"/>
  <c r="Z6" i="1"/>
  <c r="Y6" i="1"/>
  <c r="X6" i="1"/>
  <c r="W6" i="1"/>
  <c r="V6" i="1"/>
  <c r="U6" i="1"/>
  <c r="R6" i="1"/>
  <c r="C6" i="1" s="1"/>
  <c r="Q6" i="1"/>
  <c r="P6" i="1"/>
  <c r="AS6" i="1"/>
  <c r="AQ6" i="1"/>
  <c r="AP6" i="1"/>
  <c r="AO6" i="1"/>
  <c r="AL6" i="1"/>
  <c r="AJ6" i="1"/>
  <c r="AI6" i="1"/>
  <c r="AE6" i="1"/>
  <c r="AD6" i="1"/>
  <c r="AC6" i="1"/>
  <c r="T6" i="1"/>
  <c r="S6" i="1"/>
  <c r="O6" i="1"/>
  <c r="N6" i="1"/>
  <c r="M6" i="1"/>
  <c r="L6" i="1"/>
  <c r="K6" i="1"/>
  <c r="J6" i="1"/>
  <c r="I6" i="1"/>
  <c r="H6" i="1"/>
  <c r="G6" i="1"/>
  <c r="F6" i="1"/>
  <c r="E6" i="1"/>
  <c r="D6" i="1"/>
  <c r="B6" i="1"/>
  <c r="F4" i="1"/>
  <c r="E4" i="1"/>
  <c r="D4" i="1"/>
  <c r="B4" i="1"/>
  <c r="AT4" i="1"/>
  <c r="AS4" i="1"/>
  <c r="AQ4" i="1"/>
  <c r="AP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O4" i="1"/>
  <c r="AA4" i="1"/>
  <c r="Z4" i="1"/>
  <c r="Y4" i="1"/>
  <c r="X4" i="1"/>
  <c r="W4" i="1"/>
  <c r="V4" i="1"/>
  <c r="U4" i="1"/>
  <c r="T4" i="1"/>
  <c r="S4" i="1"/>
  <c r="R4" i="1"/>
  <c r="C4" i="1" s="1"/>
  <c r="Q4" i="1"/>
  <c r="P4" i="1"/>
  <c r="O4" i="1"/>
  <c r="N4" i="1"/>
  <c r="M4" i="1"/>
  <c r="L4" i="1"/>
  <c r="K4" i="1"/>
  <c r="J4" i="1"/>
  <c r="I4" i="1"/>
  <c r="H4" i="1"/>
  <c r="G4" i="1"/>
</calcChain>
</file>

<file path=xl/sharedStrings.xml><?xml version="1.0" encoding="utf-8"?>
<sst xmlns="http://schemas.openxmlformats.org/spreadsheetml/2006/main" count="404" uniqueCount="348">
  <si>
    <t>PPN Paid &amp; Unpaid Report- Pre-Invoice Audit</t>
  </si>
  <si>
    <t>Claim Id</t>
  </si>
  <si>
    <t>Contract</t>
  </si>
  <si>
    <t>Team</t>
  </si>
  <si>
    <t>Coll Disp</t>
  </si>
  <si>
    <t>Coll Disp Update Date</t>
  </si>
  <si>
    <t>Provider AR Status</t>
  </si>
  <si>
    <t>Payment Type</t>
  </si>
  <si>
    <t>Provider Paid Date</t>
  </si>
  <si>
    <t>Admit Date</t>
  </si>
  <si>
    <t>Refund Request Date (Discovery Identified Date)</t>
  </si>
  <si>
    <t>Overpayment Reason</t>
  </si>
  <si>
    <t>Special Field 01</t>
  </si>
  <si>
    <t>Special Field 02</t>
  </si>
  <si>
    <t>Special Field 03</t>
  </si>
  <si>
    <t>Special Field 04</t>
  </si>
  <si>
    <t>Special Field 05</t>
  </si>
  <si>
    <t>Special Field 06</t>
  </si>
  <si>
    <t>Special Field 07</t>
  </si>
  <si>
    <t>Special Field 08</t>
  </si>
  <si>
    <t>Special Field 09</t>
  </si>
  <si>
    <t>Special Field 10</t>
  </si>
  <si>
    <t>Special Field 11</t>
  </si>
  <si>
    <t>Special Field 12</t>
  </si>
  <si>
    <t>Special Field 13</t>
  </si>
  <si>
    <t>Special Field 14</t>
  </si>
  <si>
    <t>Special Field 15</t>
  </si>
  <si>
    <t>Special Field 16</t>
  </si>
  <si>
    <t>Special Field 17</t>
  </si>
  <si>
    <t>Special Field 18</t>
  </si>
  <si>
    <t>Special Field 19</t>
  </si>
  <si>
    <t>Special Field 20</t>
  </si>
  <si>
    <t>Special Field 21</t>
  </si>
  <si>
    <t>Special Field 22</t>
  </si>
  <si>
    <t>Special Field 23</t>
  </si>
  <si>
    <t>Special Field 24</t>
  </si>
  <si>
    <t>Special Field 25</t>
  </si>
  <si>
    <t>Special Field 26</t>
  </si>
  <si>
    <t>Special Field 27</t>
  </si>
  <si>
    <t>Special Field 28</t>
  </si>
  <si>
    <t>Special Field 29</t>
  </si>
  <si>
    <t>Special Field 30</t>
  </si>
  <si>
    <t>Special Field 31</t>
  </si>
  <si>
    <t>Special Field 32</t>
  </si>
  <si>
    <t>Special Field 33</t>
  </si>
  <si>
    <t>Special Field 34</t>
  </si>
  <si>
    <t>Special Field 35</t>
  </si>
  <si>
    <t>Special Field 36</t>
  </si>
  <si>
    <t>Special Field 37</t>
  </si>
  <si>
    <t>Special Field 38</t>
  </si>
  <si>
    <t>Special Field 39</t>
  </si>
  <si>
    <t>Special Field 40</t>
  </si>
  <si>
    <t>Adjusted Submitted Amt</t>
  </si>
  <si>
    <t>Prov Balance Due</t>
  </si>
  <si>
    <t>Net Payment Amt</t>
  </si>
  <si>
    <t>UICIPC</t>
  </si>
  <si>
    <t>HPIHP</t>
  </si>
  <si>
    <t>MGLPC</t>
  </si>
  <si>
    <t>AUXCRP</t>
  </si>
  <si>
    <t>TRADP</t>
  </si>
  <si>
    <t>CDNEPN</t>
  </si>
  <si>
    <t>UMRQPR</t>
  </si>
  <si>
    <t>CDPHPI</t>
  </si>
  <si>
    <t>ABENEC</t>
  </si>
  <si>
    <t>HAMPPC</t>
  </si>
  <si>
    <t>MOOPC</t>
  </si>
  <si>
    <t>PMAC</t>
  </si>
  <si>
    <t>CIPP</t>
  </si>
  <si>
    <t>HMOP</t>
  </si>
  <si>
    <t>CDPUBI</t>
  </si>
  <si>
    <t>KASCP</t>
  </si>
  <si>
    <t>CHIP</t>
  </si>
  <si>
    <t>Blue Cross Blue Shield of Florida (PPN-PROV-BCBSFL)</t>
  </si>
  <si>
    <t>BCBSFL</t>
  </si>
  <si>
    <t>HealthPlan Services (PPN-PROV-HPIHP)</t>
  </si>
  <si>
    <t>Mutual of Omaha (PPN-PROV-MOOPC)</t>
  </si>
  <si>
    <t>UHC Affiliates (PPN-PROV-UHCMR)</t>
  </si>
  <si>
    <t>UHCMR</t>
  </si>
  <si>
    <t>Aetna - Traditional (PPN-PROV-TRADP)</t>
  </si>
  <si>
    <t>ACORD</t>
  </si>
  <si>
    <t>CDPEPN</t>
  </si>
  <si>
    <t>CDPHNI</t>
  </si>
  <si>
    <t>HMOSP</t>
  </si>
  <si>
    <t>Aetna Student Health (PPN-PROV-CHIP)</t>
  </si>
  <si>
    <t>AUXMAP</t>
  </si>
  <si>
    <t>HAMP2</t>
  </si>
  <si>
    <t>ASRC</t>
  </si>
  <si>
    <t>BMNAPC</t>
  </si>
  <si>
    <t>Kaiser Permanente of California (PPN-PROV-KASCD)</t>
  </si>
  <si>
    <t>KASCD</t>
  </si>
  <si>
    <t>Kaiser Permanente of California (PPN-PROV-KASCP)</t>
  </si>
  <si>
    <t>EDHPC</t>
  </si>
  <si>
    <t>Aetna - HMO (PPN-PROV-ASRC)</t>
  </si>
  <si>
    <t>BENP</t>
  </si>
  <si>
    <t>HSCPE2</t>
  </si>
  <si>
    <t>UMRPRJ</t>
  </si>
  <si>
    <t>USHLPC</t>
  </si>
  <si>
    <t>HMOTP</t>
  </si>
  <si>
    <t>CENBEN</t>
  </si>
  <si>
    <t>KASCC</t>
  </si>
  <si>
    <t>HSCOPE</t>
  </si>
  <si>
    <t>Mutual of Omaha (PPN-PROV-MGLPC-Gerber Life)</t>
  </si>
  <si>
    <t>UMRMO</t>
  </si>
  <si>
    <t>CDUEPN</t>
  </si>
  <si>
    <t>Aetna - HMO (PPN-PROV-HMOSP)</t>
  </si>
  <si>
    <t>ABSTJ</t>
  </si>
  <si>
    <t>MWWPC</t>
  </si>
  <si>
    <t>PEHPP1</t>
  </si>
  <si>
    <t>HPLMAT</t>
  </si>
  <si>
    <t>ODSPC</t>
  </si>
  <si>
    <t>PRIHPC</t>
  </si>
  <si>
    <t>MGPPC</t>
  </si>
  <si>
    <t>OHBSPR</t>
  </si>
  <si>
    <t>POMCO</t>
  </si>
  <si>
    <t>Aetna - HMO (PPN-PROV-HMOP)</t>
  </si>
  <si>
    <t>HealthScope Benefits (PPN-PROV-CENBEN)</t>
  </si>
  <si>
    <t>HHKPRO</t>
  </si>
  <si>
    <t>HMOTSP</t>
  </si>
  <si>
    <t>Aetna - HMO (PPN-PROV-HMOTP)</t>
  </si>
  <si>
    <t>HealthScope Benefits (PPN-PROV-HSCOPE)</t>
  </si>
  <si>
    <t>EBMCPC</t>
  </si>
  <si>
    <t>TRADM</t>
  </si>
  <si>
    <t>MHNSV6</t>
  </si>
  <si>
    <t>POMCO (PPN-PROV-POMCO)</t>
  </si>
  <si>
    <t>PSHPPC</t>
  </si>
  <si>
    <t>HMOTM</t>
  </si>
  <si>
    <t>KASNC</t>
  </si>
  <si>
    <t>KASCO</t>
  </si>
  <si>
    <t>BFLADT</t>
  </si>
  <si>
    <t>Mutual of Omaha (PPN-PROV-MWWPC)</t>
  </si>
  <si>
    <t>Health Alliance Medical Plans (PPN-PROV-HAMPPC)</t>
  </si>
  <si>
    <t>PASTE DATA BELOW THE HEADERS!!!!</t>
  </si>
  <si>
    <t>PASTE PPN PAID &amp; UNPAID REPORT ON NEXT TAB</t>
  </si>
  <si>
    <t>Kaiser Permanente of California (PPN-PROV-KASCC)</t>
  </si>
  <si>
    <t>Ameriben/IEC Group (PPN-PROV-ABENEC)</t>
  </si>
  <si>
    <t>SF 22</t>
  </si>
  <si>
    <t>SF 24</t>
  </si>
  <si>
    <t>SF 25</t>
  </si>
  <si>
    <t>SF 26</t>
  </si>
  <si>
    <t>SF 27</t>
  </si>
  <si>
    <t>SF 28</t>
  </si>
  <si>
    <t>SF 29</t>
  </si>
  <si>
    <t>SF 30</t>
  </si>
  <si>
    <t>SF 31</t>
  </si>
  <si>
    <t>SF 1</t>
  </si>
  <si>
    <t>SF 2</t>
  </si>
  <si>
    <t>SF 3</t>
  </si>
  <si>
    <t>SF 4</t>
  </si>
  <si>
    <t>SF 5</t>
  </si>
  <si>
    <t>SF 6</t>
  </si>
  <si>
    <t>SF 7</t>
  </si>
  <si>
    <t>SF 8</t>
  </si>
  <si>
    <t>SF 9</t>
  </si>
  <si>
    <t>SF 10</t>
  </si>
  <si>
    <t>SF 11</t>
  </si>
  <si>
    <t>SF 12</t>
  </si>
  <si>
    <t>SF 13</t>
  </si>
  <si>
    <t>SF 14</t>
  </si>
  <si>
    <t>SF 15</t>
  </si>
  <si>
    <t>SF 16</t>
  </si>
  <si>
    <t>SF 17</t>
  </si>
  <si>
    <t>SF 18</t>
  </si>
  <si>
    <t>SF 19</t>
  </si>
  <si>
    <t>SF 20</t>
  </si>
  <si>
    <t>SF 21</t>
  </si>
  <si>
    <t>SF 23</t>
  </si>
  <si>
    <t>FACS Client Code</t>
  </si>
  <si>
    <t>Safari Contract Code</t>
  </si>
  <si>
    <t>2ANOCP</t>
  </si>
  <si>
    <t>Anthem Blue Cross Blue Shield of IN, OH, KY &amp; WI (PPN-PROV-2ANOCP)</t>
  </si>
  <si>
    <t>ABENAZ</t>
  </si>
  <si>
    <t>Ameriben/IEC Group (PPN-PROV-ABENAZ)</t>
  </si>
  <si>
    <t>ABSPC</t>
  </si>
  <si>
    <t>Automated Benefit Services, Inc. (PPN-PROV-ABSPC)</t>
  </si>
  <si>
    <t>ABSPCA</t>
  </si>
  <si>
    <t>Automated Benefit Services, Inc. (PPN-PROV-ABSPCA)</t>
  </si>
  <si>
    <t>Automated Benefit Services, Inc. (PPN-PROV-ABSTJ)</t>
  </si>
  <si>
    <t>HealthSmart Benefit Solutions (PPN-PROV-ACORD)</t>
  </si>
  <si>
    <t>ANTSV</t>
  </si>
  <si>
    <t>Anthem Medicare Advantage PFFS (PPN-PROV-ANTSV)</t>
  </si>
  <si>
    <t>Auxiant (PPN-PROV-AUXCRP)</t>
  </si>
  <si>
    <t>Auxiant (PPN-PROV-AUXMAP)</t>
  </si>
  <si>
    <t>BCGAOR</t>
  </si>
  <si>
    <t>Blue Cross Blue Shield of Georgia (Anthem) (PPN-PROV-BCGAOR)</t>
  </si>
  <si>
    <t>Benesys Inc. (PPN-PROV-BENP)</t>
  </si>
  <si>
    <t>Blue Cross Blue Shield of Florida (PPN-PROV-BFLADT)</t>
  </si>
  <si>
    <t>BFLNAS</t>
  </si>
  <si>
    <t>Blue Cross Blue Shield of Florida (PPN-PROV-BFLNAS)</t>
  </si>
  <si>
    <t>BFLPAR</t>
  </si>
  <si>
    <t>Blue Cross Blue Shield of Florida (PPN-PROV-BFLPAR)</t>
  </si>
  <si>
    <t>Blue Cross Blue Shield of Minnesota (PPN-PROV-BMNAPC)</t>
  </si>
  <si>
    <t>BMNBPC</t>
  </si>
  <si>
    <t>Blue Cross Blue Shield of Minnesota (PPN-PROV-BMNBPC)</t>
  </si>
  <si>
    <t>BMNPGC</t>
  </si>
  <si>
    <t>Blue Cross Blue Shield of Minnesota (PPN-PROV-BMNPGC)</t>
  </si>
  <si>
    <t>CCPGMN</t>
  </si>
  <si>
    <t>Comprehensive Care Services (PPN-PROV-CCPGMN)</t>
  </si>
  <si>
    <t>CCPOMN</t>
  </si>
  <si>
    <t>Comprehensive Care Services (PPN-PROV-CCPOMN)</t>
  </si>
  <si>
    <t>Capital District Physicians Health Plan (PPN-PROV-CDNEPN)</t>
  </si>
  <si>
    <t>CDNOPD</t>
  </si>
  <si>
    <t>Capital District Physicians Health Plan (PPN-PROV-CDNOPD)</t>
  </si>
  <si>
    <t>Capital District Physicians Health Plan (PPN-PROV-CDPEPN)</t>
  </si>
  <si>
    <t>Capital District Physicians Health Plan (PPN-PROV-CDPHNI)</t>
  </si>
  <si>
    <t>Capital District Physicians Health Plan (PPN-PROV-CDPHPI)</t>
  </si>
  <si>
    <t>CDPOPD</t>
  </si>
  <si>
    <t>Capital District Physicians Health Plan (PPN-PROV-CDPOPD)</t>
  </si>
  <si>
    <t>Capital District Physicians Health Plan (PPN-PROV-CDPUBI)</t>
  </si>
  <si>
    <t>Capital District Physicians Health Plan (PPN-PROV-CDUEPN)</t>
  </si>
  <si>
    <t>CDUOPD</t>
  </si>
  <si>
    <t>Capital District Physicians Health Plan (PPN-PROV-CDUOPD)</t>
  </si>
  <si>
    <t>DDEPMG</t>
  </si>
  <si>
    <t>Delta Dental of Iowa (PPN-PROV-DDEPMG)</t>
  </si>
  <si>
    <t>DMBAPC</t>
  </si>
  <si>
    <t>Deseret Mutual Benefit Administrators (PPN-PROV-DMBAPC)</t>
  </si>
  <si>
    <t>Employee Benefit Management Corporation (PPN-PROV-EBPCTG)</t>
  </si>
  <si>
    <t>EBPCTG</t>
  </si>
  <si>
    <t>Employee Benefit Management Corporation (PPN-PROV-EBMCPC)</t>
  </si>
  <si>
    <t>Employers Direct Health, Inc. (PPN-PROV-EDHPC)</t>
  </si>
  <si>
    <t>FIMIIN</t>
  </si>
  <si>
    <t>Fidelis SeniorCare, Inc. (PPN-PROV-FIMIIN)</t>
  </si>
  <si>
    <t>FIMIOT</t>
  </si>
  <si>
    <t>Fidelis SeniorCare, Inc. (PPN-PROV-FIMIOT)</t>
  </si>
  <si>
    <t>FINCIN</t>
  </si>
  <si>
    <t>Fidelis SeniorCare, Inc. (PPN-PROV-FINCIN)</t>
  </si>
  <si>
    <t>FITXOT</t>
  </si>
  <si>
    <t>Fidelis SeniorCare, Inc. (PPN-PROV-FITXOT)</t>
  </si>
  <si>
    <t>GHIS1</t>
  </si>
  <si>
    <t>GHI Group Health Inc. (PPN-PROV-GHIS1)</t>
  </si>
  <si>
    <t>Health Alliance Medical Plans (PPN-PROV-HAMP2)</t>
  </si>
  <si>
    <t>Harrington Health Plan (PPN-PROV-HHKPRO)</t>
  </si>
  <si>
    <t>HKSPRO</t>
  </si>
  <si>
    <t>Harrington Health Plan (PPN-PROV-HKSPRO)</t>
  </si>
  <si>
    <t>HMOM</t>
  </si>
  <si>
    <t>Aetna - HMO (PPN-PROV-HMOM)</t>
  </si>
  <si>
    <t>HMOSM</t>
  </si>
  <si>
    <t>Aetna - HMO (PPN-PROV-HMOSM)</t>
  </si>
  <si>
    <t>Aetna - HMO (PPN-PROV-HMOTM)</t>
  </si>
  <si>
    <t>HMOTSM</t>
  </si>
  <si>
    <t>Aetna - HMO (PPN-PROV-HMOTSM)</t>
  </si>
  <si>
    <t>Aetna - HMO (PPN-PROV-HMOSTP)</t>
  </si>
  <si>
    <t>HNPNV</t>
  </si>
  <si>
    <t>HealthCare Partners LLC (PPN-PROV-HNPNV)</t>
  </si>
  <si>
    <t>HPMIPC</t>
  </si>
  <si>
    <t>HealthPlus of Michigan (PPN-PROV-HPMIPC)</t>
  </si>
  <si>
    <t>HealthScope Benefits (PPN-PROV-HSCPE2)</t>
  </si>
  <si>
    <t>KASC</t>
  </si>
  <si>
    <t>Kaiser Permanente of California (PPN-PROV-KASC)</t>
  </si>
  <si>
    <t>Kaiser Permanente of California (PPN-PROV-KASNC)</t>
  </si>
  <si>
    <t>KASMA</t>
  </si>
  <si>
    <t>Kaiser Permanente - Mid-Atlantic Region (PPN-PROV-KASMA)</t>
  </si>
  <si>
    <t>Kaiser Permanente of California (PPN-PROV-KASCO)</t>
  </si>
  <si>
    <t>KASNW</t>
  </si>
  <si>
    <t>Kaiser Permanente of California (PPN-PROV-KASNW)</t>
  </si>
  <si>
    <t>MGLPCU</t>
  </si>
  <si>
    <t>Mutual of Omaha (PPN-PROV-MGLPCU-Gerber Life)</t>
  </si>
  <si>
    <t>Mutual of Omaha (PPN-PROV-MGPPC)</t>
  </si>
  <si>
    <t>MGPPCU</t>
  </si>
  <si>
    <t>Mutual of Omaha (PPN-PROV-MGPPCU)</t>
  </si>
  <si>
    <t>MHNET2</t>
  </si>
  <si>
    <t>Managed Health Network (PPN-PROV-MHNET2)</t>
  </si>
  <si>
    <t>Managed Health Network (PPN-PROV-MHNSV6)</t>
  </si>
  <si>
    <t>MOOPCU</t>
  </si>
  <si>
    <t>Mutual of Omaha (PPN-PROV-MOOPCU)</t>
  </si>
  <si>
    <t>MWWPCU</t>
  </si>
  <si>
    <t>Mutual of Omaha (PPN-PROV-MWWPCU)</t>
  </si>
  <si>
    <t>NALCPC</t>
  </si>
  <si>
    <t>National Association of Letter Carriers (PPN-PROV-NALCPC)</t>
  </si>
  <si>
    <t>ODS Health Plans (PPN-PROV-ODSPC)</t>
  </si>
  <si>
    <t>UHC Affliates (PPN-PROV-OHBSPR)</t>
  </si>
  <si>
    <t>P.E.H.P (Public Employee Health Program) (PPN-PROV-PEHPP1)</t>
  </si>
  <si>
    <t>PHPMFM</t>
  </si>
  <si>
    <t>Physicians Health Plan (PPN-PROV-PHPMFM)</t>
  </si>
  <si>
    <t>PHPMLC</t>
  </si>
  <si>
    <t>Physicians Health Plan (PPN-PROV-PHPMLC)</t>
  </si>
  <si>
    <t>PHPMLT</t>
  </si>
  <si>
    <t>Physicians Health Plan (PPN-PROV-PHPMLT)</t>
  </si>
  <si>
    <t>PMA Group (PPN-PROV-PMAC)</t>
  </si>
  <si>
    <t>PacificSource Health Plans (PPN-PROV-PSHPPC)</t>
  </si>
  <si>
    <t>SEPP</t>
  </si>
  <si>
    <t>Self Insured Plans LLC (PPN-PROV-SEPP)</t>
  </si>
  <si>
    <t>SPECT1</t>
  </si>
  <si>
    <t>Spectrum Administrators, Inc. (PPN-PROV-SPECT1)</t>
  </si>
  <si>
    <t>SPECT2</t>
  </si>
  <si>
    <t>Spectrum Administrators, Inc. (PPN-PROV-SPECT2)</t>
  </si>
  <si>
    <t>TMAR3P</t>
  </si>
  <si>
    <t>Trustmark (PPN-PROV-TMAR3P)</t>
  </si>
  <si>
    <t>TMARCC</t>
  </si>
  <si>
    <t>Trustmark (PPN-PROV-TMARCC)</t>
  </si>
  <si>
    <t>Aetna - Traditional (PPN-PROV-TRADM)</t>
  </si>
  <si>
    <t>TRWEST</t>
  </si>
  <si>
    <t>TRICARE/TriWest Healthcare Alliance (PPN-PROV-TRWEST)</t>
  </si>
  <si>
    <t>UHCIS</t>
  </si>
  <si>
    <t>UHC Affiliates (PPN-PROV-UHCIS)</t>
  </si>
  <si>
    <t>UHC Affiliates (PPN-PROV-UICIPC)</t>
  </si>
  <si>
    <t>UMRCPR</t>
  </si>
  <si>
    <t>UHC Affiliates (PPN-PROV-UMRCPR)</t>
  </si>
  <si>
    <t>UMRDEN</t>
  </si>
  <si>
    <t>UHC Affiliates (PPN-PROV-UMRDEN)</t>
  </si>
  <si>
    <t>UMR (CPS) (PPN-PROV-UMRMO)</t>
  </si>
  <si>
    <t>UMR (CPS) (PPN-PROV-UMRPRJ)</t>
  </si>
  <si>
    <t>UMR (CPS) (PPN-PROV-UMRQPR)</t>
  </si>
  <si>
    <t>UMR (CPS) (PPN-PROV-UMWPRO)</t>
  </si>
  <si>
    <t>Automated Benefit Services, Inc. (PPN-PROV-USHLPC)</t>
  </si>
  <si>
    <t>UTAP</t>
  </si>
  <si>
    <t>Great American Financial Resources (PPN-PROV-UTAP)</t>
  </si>
  <si>
    <t>UTCGIP</t>
  </si>
  <si>
    <t>Cigna Supplemental Benefits (PPN-PROV-UTCGIP)</t>
  </si>
  <si>
    <t>UTGALP</t>
  </si>
  <si>
    <t>Cigna Supplemental Benefits (PPN-PROV-UTGALP)</t>
  </si>
  <si>
    <t>UTLALP</t>
  </si>
  <si>
    <t>Cigna Supplemental Benefits (PPN-PROV-UTLALP)</t>
  </si>
  <si>
    <t>UTPALP</t>
  </si>
  <si>
    <t>Cigna Supplemental Benefits (PPN-PROV-UTPALP)</t>
  </si>
  <si>
    <t>VOP</t>
  </si>
  <si>
    <t>Value Options (VA) (PPN-PROV-VOP)</t>
  </si>
  <si>
    <t>VOPA</t>
  </si>
  <si>
    <t>Value Options (VA) (PPN-PROV-VOPA)</t>
  </si>
  <si>
    <t>APWUM</t>
  </si>
  <si>
    <t>APWU-American Postal Workers Union (PPN-PROV-APWUM)</t>
  </si>
  <si>
    <t>APWUP</t>
  </si>
  <si>
    <t>APWU-American Postal Workers Union (PPN-PROV-APWUP)</t>
  </si>
  <si>
    <t>HPLDRG</t>
  </si>
  <si>
    <t>Health Plus PHSP Inc. (PPN-PROV-HPLDRG)</t>
  </si>
  <si>
    <t>Health Plus PHSP Inc. (PPN-PROV-HPLMAT)</t>
  </si>
  <si>
    <t>LBS01</t>
  </si>
  <si>
    <t>RMSCO (PPN-PROV-LBS01)</t>
  </si>
  <si>
    <t>LBS02</t>
  </si>
  <si>
    <t>RMSCO (PPN-PROV-LBS02)</t>
  </si>
  <si>
    <t>Priority Health (PPN-PROV-PRIHPC)</t>
  </si>
  <si>
    <t>PRIHPU</t>
  </si>
  <si>
    <t>Priority Health (PPN-PROV-PRIHPU)</t>
  </si>
  <si>
    <t xml:space="preserve">Contract Starts with PPN (Provider name): </t>
  </si>
  <si>
    <t>UMWPRO</t>
  </si>
  <si>
    <t xml:space="preserve">Contract Starts with Provider Name (PPN-PROV-…..): </t>
  </si>
  <si>
    <t>MHSPC</t>
  </si>
  <si>
    <t>MCMPC</t>
  </si>
  <si>
    <t>Mutual of Omaha (PPN-PROV-MCMPC)</t>
  </si>
  <si>
    <t>UHC Affiliates (PPN-PROV-CIPP-Maryland)</t>
  </si>
  <si>
    <t>MERIP</t>
  </si>
  <si>
    <t>Meritain Health (PPN - PROV - MERIP)</t>
  </si>
  <si>
    <t>Saved</t>
  </si>
  <si>
    <t>(PPN-PROV-POMCO)</t>
  </si>
  <si>
    <t>Health Plans Inc. (PPN-PROV-HPIHP)</t>
  </si>
  <si>
    <t>Care Improvement Plus (PPN-PROV-CIPP-Texas)</t>
  </si>
  <si>
    <t>UHC Affiliates (PPN-PROV-CIPP-Wisconsin)</t>
  </si>
  <si>
    <t>UHC Affiliates (PPN-PROV-CIPP-So Central &amp; So East)</t>
  </si>
  <si>
    <t>Magellan Health Inc (PPN - PROV - MHSPC)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</si>
</sst>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entury Gothic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i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4" borderId="1" applyNumberFormat="0" applyFont="0" applyAlignment="0" applyProtection="0"/>
  </cellStyleXfs>
  <cellXfs count="4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6" fillId="0" borderId="0" xfId="0" applyFont="1"/>
    <xf numFmtId="0" fontId="7" fillId="0" borderId="0" xfId="0" applyFont="1" applyAlignment="1"/>
    <xf numFmtId="0" fontId="8" fillId="0" borderId="0" xfId="0" applyFont="1"/>
    <xf numFmtId="0" fontId="7" fillId="0" borderId="0" xfId="0" applyFont="1"/>
    <xf numFmtId="14" fontId="8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14" fontId="11" fillId="0" borderId="0" xfId="0" applyNumberFormat="1" applyFont="1"/>
    <xf numFmtId="0" fontId="10" fillId="0" borderId="0" xfId="0" applyFont="1" applyFill="1"/>
    <xf numFmtId="0" fontId="11" fillId="0" borderId="0" xfId="0" applyFont="1" applyFill="1"/>
    <xf numFmtId="0" fontId="8" fillId="0" borderId="0" xfId="0" applyFont="1" applyFill="1"/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8" fillId="5" borderId="0" xfId="0" applyFont="1" applyFill="1"/>
    <xf numFmtId="0" fontId="11" fillId="0" borderId="0" xfId="0" applyNumberFormat="1" applyFont="1"/>
    <xf numFmtId="0" fontId="0" fillId="0" borderId="0" xfId="0"/>
    <xf numFmtId="0" fontId="10" fillId="0" borderId="0" xfId="0" applyFont="1"/>
    <xf numFmtId="0" fontId="7" fillId="0" borderId="0" xfId="0" applyFont="1" applyAlignment="1"/>
    <xf numFmtId="0" fontId="8" fillId="0" borderId="0" xfId="0" applyFont="1"/>
    <xf numFmtId="0" fontId="8" fillId="0" borderId="0" xfId="0" applyFont="1" applyFill="1"/>
    <xf numFmtId="0" fontId="0" fillId="0" borderId="0" xfId="0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8" fillId="0" borderId="0" xfId="0" applyFont="1"/>
    <xf numFmtId="0" fontId="10" fillId="0" borderId="0" xfId="0" applyFont="1"/>
    <xf numFmtId="14" fontId="1" fillId="3" borderId="0" xfId="0" applyNumberFormat="1" applyFont="1" applyFill="1" applyAlignment="1">
      <alignment horizontal="center"/>
    </xf>
    <xf numFmtId="0" fontId="12" fillId="0" borderId="0" xfId="0" applyFont="1"/>
    <xf numFmtId="14" fontId="12" fillId="0" borderId="0" xfId="0" applyNumberFormat="1" applyFont="1"/>
    <xf numFmtId="0" fontId="12" fillId="0" borderId="0" xfId="0" applyNumberFormat="1" applyFont="1"/>
  </cellXfs>
  <cellStyles count="7">
    <cellStyle name="Currency 2" xfId="1"/>
    <cellStyle name="Normal" xfId="0" builtinId="0"/>
    <cellStyle name="Normal 10 10" xfId="2"/>
    <cellStyle name="Normal 2" xfId="3"/>
    <cellStyle name="Normal 2 3" xfId="4"/>
    <cellStyle name="Normal 3" xfId="5"/>
    <cellStyle name="Note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9524</xdr:rowOff>
    </xdr:from>
    <xdr:to>
      <xdr:col>0</xdr:col>
      <xdr:colOff>1743075</xdr:colOff>
      <xdr:row>7</xdr:row>
      <xdr:rowOff>571499</xdr:rowOff>
    </xdr:to>
    <xdr:sp macro="[0]!Run_Aetna_Macro" textlink="">
      <xdr:nvSpPr>
        <xdr:cNvPr id="2" name="Rectangle 1"/>
        <xdr:cNvSpPr/>
      </xdr:nvSpPr>
      <xdr:spPr>
        <a:xfrm>
          <a:off x="0" y="962024"/>
          <a:ext cx="17430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RUN</a:t>
          </a:r>
          <a:r>
            <a:rPr lang="en-US" sz="1800" baseline="0"/>
            <a:t> MACRO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9"/>
  <sheetViews>
    <sheetView tabSelected="1" workbookViewId="0">
      <selection activeCell="A10" sqref="A10"/>
    </sheetView>
  </sheetViews>
  <sheetFormatPr defaultColWidth="22.140625" defaultRowHeight="15" x14ac:dyDescent="0.25"/>
  <cols>
    <col min="1" max="1" width="50" bestFit="1" customWidth="1"/>
    <col min="2" max="2" width="30.5703125" bestFit="1" customWidth="1"/>
    <col min="3" max="3" width="22.140625" customWidth="1"/>
    <col min="4" max="4" width="8.140625" bestFit="1" customWidth="1"/>
    <col min="5" max="6" width="3.42578125" customWidth="1"/>
    <col min="7" max="7" width="4.42578125" customWidth="1"/>
    <col min="8" max="8" width="14.7109375" customWidth="1"/>
    <col min="9" max="9" width="7.28515625" customWidth="1"/>
    <col min="10" max="13" width="3.42578125" customWidth="1"/>
    <col min="14" max="14" width="7.5703125" bestFit="1" customWidth="1"/>
    <col min="15" max="15" width="8" bestFit="1" customWidth="1"/>
    <col min="16" max="18" width="22.140625" customWidth="1"/>
    <col min="19" max="19" width="12.42578125" customWidth="1"/>
    <col min="20" max="20" width="7.42578125" customWidth="1"/>
    <col min="21" max="23" width="22.140625" customWidth="1"/>
    <col min="24" max="24" width="20.28515625" bestFit="1" customWidth="1"/>
    <col min="25" max="25" width="11.28515625" customWidth="1"/>
    <col min="26" max="26" width="3.7109375" customWidth="1"/>
    <col min="27" max="29" width="22.140625" customWidth="1"/>
    <col min="30" max="30" width="9.85546875" customWidth="1"/>
    <col min="31" max="31" width="3.7109375" customWidth="1"/>
    <col min="32" max="32" width="18.85546875" bestFit="1" customWidth="1"/>
    <col min="33" max="33" width="22.7109375" bestFit="1" customWidth="1"/>
    <col min="34" max="34" width="20.28515625" bestFit="1" customWidth="1"/>
    <col min="35" max="35" width="3.7109375" customWidth="1"/>
    <col min="36" max="36" width="4.28515625" customWidth="1"/>
    <col min="37" max="37" width="22.140625" customWidth="1"/>
    <col min="38" max="38" width="3.7109375" customWidth="1"/>
    <col min="39" max="44" width="22.140625" customWidth="1"/>
    <col min="45" max="45" width="3.7109375" customWidth="1"/>
    <col min="46" max="46" width="22.140625" customWidth="1"/>
    <col min="47" max="47" width="0.5703125" customWidth="1"/>
  </cols>
  <sheetData>
    <row r="1" spans="1:47" s="5" customFormat="1" ht="15" customHeight="1" x14ac:dyDescent="0.25">
      <c r="A1" s="2" t="s">
        <v>0</v>
      </c>
      <c r="B1"/>
      <c r="C1" s="2" t="s">
        <v>132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 s="1"/>
      <c r="AP1"/>
      <c r="AQ1"/>
      <c r="AR1"/>
      <c r="AS1"/>
      <c r="AT1"/>
      <c r="AU1" s="25"/>
    </row>
    <row r="2" spans="1:47" s="22" customFormat="1" x14ac:dyDescent="0.25">
      <c r="A2" s="2" t="s">
        <v>131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8"/>
      <c r="R2" s="19"/>
      <c r="S2" s="19"/>
      <c r="T2" s="19"/>
      <c r="U2" s="19"/>
      <c r="V2" s="19"/>
      <c r="W2" s="18"/>
      <c r="X2" s="19"/>
      <c r="Y2" s="19"/>
      <c r="Z2" s="19"/>
      <c r="AA2" s="18"/>
      <c r="AB2" s="18"/>
      <c r="AC2" s="19"/>
      <c r="AD2" s="19"/>
      <c r="AE2" s="19"/>
      <c r="AF2" s="18"/>
      <c r="AG2" s="19"/>
      <c r="AH2" s="18"/>
      <c r="AI2" s="19"/>
      <c r="AJ2" s="19"/>
      <c r="AK2" s="19"/>
      <c r="AL2" s="19"/>
      <c r="AM2" s="19"/>
      <c r="AN2" s="19"/>
      <c r="AO2" s="18"/>
      <c r="AP2" s="19"/>
      <c r="AQ2" s="18"/>
      <c r="AR2" s="18"/>
      <c r="AS2" s="19"/>
      <c r="AT2" s="19"/>
      <c r="AU2" s="26"/>
    </row>
    <row r="3" spans="1:47" s="22" customFormat="1" x14ac:dyDescent="0.25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8"/>
      <c r="R3" s="19"/>
      <c r="S3" s="19"/>
      <c r="T3" s="19"/>
      <c r="U3" s="19"/>
      <c r="V3" s="19"/>
      <c r="W3" s="18"/>
      <c r="X3" s="19"/>
      <c r="Y3" s="19"/>
      <c r="Z3" s="19"/>
      <c r="AA3" s="18"/>
      <c r="AB3" s="18"/>
      <c r="AC3" s="19"/>
      <c r="AD3" s="19"/>
      <c r="AE3" s="19"/>
      <c r="AF3" s="18"/>
      <c r="AG3" s="19"/>
      <c r="AH3" s="18"/>
      <c r="AI3" s="19"/>
      <c r="AJ3" s="19"/>
      <c r="AK3" s="19"/>
      <c r="AL3" s="19"/>
      <c r="AM3" s="19"/>
      <c r="AN3" s="19"/>
      <c r="AO3" s="18"/>
      <c r="AP3" s="19"/>
      <c r="AQ3" s="18"/>
      <c r="AR3" s="18"/>
      <c r="AS3" s="19"/>
      <c r="AT3" s="19"/>
      <c r="AU3" s="26"/>
    </row>
    <row r="4" spans="1:47" s="23" customFormat="1" x14ac:dyDescent="0.25">
      <c r="A4" s="6" t="s">
        <v>332</v>
      </c>
      <c r="B4" s="20" t="e">
        <f>VLOOKUP($A:$A,'Paste PPN Paid &amp; Unpaid Here'!$A:B,2,0)</f>
        <v>#N/A</v>
      </c>
      <c r="C4" s="20" t="e">
        <f>VLOOKUP($R:$R,'PPN Client Crosswalk'!A:B,2,0)</f>
        <v>#N/A</v>
      </c>
      <c r="D4" s="20" t="e">
        <f>VLOOKUP($A:$A,'Paste PPN Paid &amp; Unpaid Here'!$A:D,4,0)</f>
        <v>#N/A</v>
      </c>
      <c r="E4" s="20" t="e">
        <f>VLOOKUP($A:$A,'Paste PPN Paid &amp; Unpaid Here'!$A:E,5,0)</f>
        <v>#N/A</v>
      </c>
      <c r="F4" s="20" t="e">
        <f>VLOOKUP($A:$A,'Paste PPN Paid &amp; Unpaid Here'!$A:F,6,0)</f>
        <v>#N/A</v>
      </c>
      <c r="G4" s="20" t="e">
        <f>TEXT(VLOOKUP($A:$A,'Paste PPN Paid &amp; Unpaid Here'!$A:G,7,0),"mm/dd/yy")</f>
        <v>#N/A</v>
      </c>
      <c r="H4" s="20" t="str">
        <f>IFERROR(VLOOKUP($A:$A,'Paste PPN Paid &amp; Unpaid Here'!$A:H,8,0),"")</f>
        <v/>
      </c>
      <c r="I4" s="20" t="str">
        <f>IFERROR(VLOOKUP($A:$A,'Paste PPN Paid &amp; Unpaid Here'!$A:I,9,0),"")</f>
        <v/>
      </c>
      <c r="J4" s="20" t="e">
        <f>TEXT(VLOOKUP($A:$A,'Paste PPN Paid &amp; Unpaid Here'!$A:J,10,0),"mm/dd/yy")</f>
        <v>#N/A</v>
      </c>
      <c r="K4" s="20" t="e">
        <f>TEXT(VLOOKUP($A:$A,'Paste PPN Paid &amp; Unpaid Here'!$A:K,11,0),"mm/dd/yy")</f>
        <v>#N/A</v>
      </c>
      <c r="L4" s="20" t="e">
        <f>TEXT(VLOOKUP($A:$A,'Paste PPN Paid &amp; Unpaid Here'!$A:L,12,0),"mm/dd/yy")</f>
        <v>#N/A</v>
      </c>
      <c r="M4" s="20" t="e">
        <f>TEXT(VLOOKUP($A:$A,'Paste PPN Paid &amp; Unpaid Here'!$A:M,13,0),"mm/dd/yy")</f>
        <v>#N/A</v>
      </c>
      <c r="N4" s="21" t="str">
        <f>""</f>
        <v/>
      </c>
      <c r="O4" s="20" t="str">
        <f>""</f>
        <v/>
      </c>
      <c r="P4" s="20" t="e">
        <f>VLOOKUP($A:$A,'Paste PPN Paid &amp; Unpaid Here'!$A:P,16,0)</f>
        <v>#N/A</v>
      </c>
      <c r="Q4" s="20" t="e">
        <f>TEXT(VLOOKUP($A:$A,'Paste PPN Paid &amp; Unpaid Here'!$A:Q,17,0),"0")</f>
        <v>#N/A</v>
      </c>
      <c r="R4" s="20" t="e">
        <f>VLOOKUP($A:$A,'Paste PPN Paid &amp; Unpaid Here'!$A:R,18,0)</f>
        <v>#N/A</v>
      </c>
      <c r="S4" s="20" t="str">
        <f>""</f>
        <v/>
      </c>
      <c r="T4" s="20" t="str">
        <f>""</f>
        <v/>
      </c>
      <c r="U4" s="20" t="str">
        <f>TEXT(IFERROR(VLOOKUP($A:$A,'Paste PPN Paid &amp; Unpaid Here'!$A:U,21,0),""),"#,###0.00;;")</f>
        <v/>
      </c>
      <c r="V4" s="20" t="str">
        <f>TEXT(IFERROR(VLOOKUP($A:$A,'Paste PPN Paid &amp; Unpaid Here'!$A:V,22,0),""),"#,###0.00;;")</f>
        <v/>
      </c>
      <c r="W4" s="20" t="str">
        <f>TEXT(IFERROR(VLOOKUP($A:$A,'Paste PPN Paid &amp; Unpaid Here'!$A:W,23,0),""),"mm/dd/yy;;")</f>
        <v/>
      </c>
      <c r="X4" s="20" t="str">
        <f>TEXT(IFERROR(VLOOKUP($A:$A,'Paste PPN Paid &amp; Unpaid Here'!$A:X,24,0),""),"###;;")</f>
        <v/>
      </c>
      <c r="Y4" s="20" t="str">
        <f>TEXT(IFERROR(VLOOKUP($A:$A,'Paste PPN Paid &amp; Unpaid Here'!$A:Y,25,0),""),"$#,###0.00;;")</f>
        <v/>
      </c>
      <c r="Z4" s="20" t="str">
        <f>TEXT(IFERROR(VLOOKUP($A:$A,'Paste PPN Paid &amp; Unpaid Here'!$A:Z,26,0),""),"")</f>
        <v/>
      </c>
      <c r="AA4" s="20" t="str">
        <f>TEXT(IFERROR(VLOOKUP($A:$A,'Paste PPN Paid &amp; Unpaid Here'!$A:AA,27,0),""),"mm/dd/yy;;")</f>
        <v/>
      </c>
      <c r="AB4" s="20" t="str">
        <f>TEXT(IFERROR(VLOOKUP($A:$A,'Paste PPN Paid &amp; Unpaid Here'!$A:AB,28,0),""),"mmm-yyyy;;")</f>
        <v/>
      </c>
      <c r="AC4" s="29" t="str">
        <f>"PPN"</f>
        <v>PPN</v>
      </c>
      <c r="AD4" s="20" t="str">
        <f>""</f>
        <v/>
      </c>
      <c r="AE4" s="20" t="str">
        <f>""</f>
        <v/>
      </c>
      <c r="AF4" s="20" t="str">
        <f>TEXT(IFERROR(VLOOKUP($A:$A,'Paste PPN Paid &amp; Unpaid Here'!$A:AF,32,0),""),"###0")</f>
        <v/>
      </c>
      <c r="AG4" s="20" t="str">
        <f>TEXT(IFERROR(VLOOKUP($A:$A,'Paste PPN Paid &amp; Unpaid Here'!$A:AG,33,0),""),"$#,###0.00")</f>
        <v/>
      </c>
      <c r="AH4" s="20" t="str">
        <f>TEXT(IFERROR(VLOOKUP($A:$A,'Paste PPN Paid &amp; Unpaid Here'!$A:AH,34,0),""),"mm/dd/yy;;")</f>
        <v/>
      </c>
      <c r="AI4" s="20" t="str">
        <f>""</f>
        <v/>
      </c>
      <c r="AJ4" s="20" t="str">
        <f>""</f>
        <v/>
      </c>
      <c r="AK4" s="20" t="str">
        <f>TEXT(IFERROR(VLOOKUP($A:$A,'Paste PPN Paid &amp; Unpaid Here'!$A:AK,37,0),""),"")</f>
        <v/>
      </c>
      <c r="AL4" s="20" t="str">
        <f>""</f>
        <v/>
      </c>
      <c r="AM4" s="20" t="str">
        <f>TEXT(IFERROR(VLOOKUP($A:$A,'Paste PPN Paid &amp; Unpaid Here'!$A:AM,39,0),""),"")</f>
        <v/>
      </c>
      <c r="AN4" s="20" t="str">
        <f>TEXT(IFERROR(VLOOKUP($A:$A,'Paste PPN Paid &amp; Unpaid Here'!$A:AN,40,0),""),"###0")</f>
        <v/>
      </c>
      <c r="AO4" s="20" t="str">
        <f ca="1">TEXT(TODAY(),"mm/dd/yy")</f>
        <v>02/11/20</v>
      </c>
      <c r="AP4" s="20" t="str">
        <f>""</f>
        <v/>
      </c>
      <c r="AQ4" s="21" t="str">
        <f>""</f>
        <v/>
      </c>
      <c r="AR4" s="33" t="str">
        <f>""</f>
        <v/>
      </c>
      <c r="AS4" s="31" t="str">
        <f>""</f>
        <v/>
      </c>
      <c r="AT4" s="33" t="str">
        <f>TEXT(IF(ISNA(VLOOKUP($A:$A,'Paste PPN Paid &amp; Unpaid Here'!$A:AT,46,FALSE)),"0",VLOOKUP($A:$A,'Paste PPN Paid &amp; Unpaid Here'!$A:O,15,FALSE)),"###")</f>
        <v/>
      </c>
      <c r="AU4" s="27"/>
    </row>
    <row r="5" spans="1:47" s="24" customFormat="1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6"/>
      <c r="Z5" s="15"/>
      <c r="AA5" s="15"/>
      <c r="AB5" s="15"/>
      <c r="AC5" s="16"/>
      <c r="AD5" s="15"/>
      <c r="AE5" s="15"/>
      <c r="AF5" s="15"/>
      <c r="AG5" s="15"/>
      <c r="AH5" s="16"/>
      <c r="AI5" s="15"/>
      <c r="AJ5" s="16"/>
      <c r="AK5" s="15"/>
      <c r="AL5" s="15"/>
      <c r="AM5" s="15"/>
      <c r="AN5" s="15"/>
      <c r="AO5" s="17"/>
      <c r="AP5" s="15"/>
      <c r="AQ5" s="16"/>
      <c r="AR5" s="15"/>
      <c r="AS5" s="15"/>
      <c r="AT5" s="16"/>
      <c r="AU5" s="28"/>
    </row>
    <row r="6" spans="1:47" s="23" customFormat="1" x14ac:dyDescent="0.25">
      <c r="A6" s="6" t="s">
        <v>334</v>
      </c>
      <c r="B6" s="20" t="e">
        <f>VLOOKUP($A:$A,'Paste PPN Paid &amp; Unpaid Here'!$A:B,2,0)</f>
        <v>#N/A</v>
      </c>
      <c r="C6" s="20" t="e">
        <f>VLOOKUP($R:$R,'PPN Client Crosswalk'!A:B,2,0)</f>
        <v>#N/A</v>
      </c>
      <c r="D6" s="20" t="e">
        <f>VLOOKUP($A:$A,'Paste PPN Paid &amp; Unpaid Here'!$A:D,4,0)</f>
        <v>#N/A</v>
      </c>
      <c r="E6" s="20" t="e">
        <f>VLOOKUP($A:$A,'Paste PPN Paid &amp; Unpaid Here'!$A:E,5,0)</f>
        <v>#N/A</v>
      </c>
      <c r="F6" s="20" t="e">
        <f>VLOOKUP($A:$A,'Paste PPN Paid &amp; Unpaid Here'!$A:F,6,0)</f>
        <v>#N/A</v>
      </c>
      <c r="G6" s="20" t="e">
        <f>TEXT(VLOOKUP($A:$A,'Paste PPN Paid &amp; Unpaid Here'!$A:G,7,0),"mm/dd/yy")</f>
        <v>#N/A</v>
      </c>
      <c r="H6" s="20" t="str">
        <f>IFERROR(VLOOKUP($A:$A,'Paste PPN Paid &amp; Unpaid Here'!$A:H,8,0),"")</f>
        <v/>
      </c>
      <c r="I6" s="20" t="str">
        <f>IFERROR(VLOOKUP($A:$A,'Paste PPN Paid &amp; Unpaid Here'!$A:I,9,0),"")</f>
        <v/>
      </c>
      <c r="J6" s="20" t="e">
        <f>TEXT(VLOOKUP($A:$A,'Paste PPN Paid &amp; Unpaid Here'!$A:J,10,0),"mm/dd/yy")</f>
        <v>#N/A</v>
      </c>
      <c r="K6" s="20" t="e">
        <f>TEXT(VLOOKUP($A:$A,'Paste PPN Paid &amp; Unpaid Here'!$A:K,11,0),"mm/dd/yy")</f>
        <v>#N/A</v>
      </c>
      <c r="L6" s="20" t="e">
        <f>TEXT(VLOOKUP($A:$A,'Paste PPN Paid &amp; Unpaid Here'!$A:L,12,0),"mm/dd/yy")</f>
        <v>#N/A</v>
      </c>
      <c r="M6" s="20" t="e">
        <f>TEXT(VLOOKUP($A:$A,'Paste PPN Paid &amp; Unpaid Here'!$A:M,13,0),"mm/dd/yy")</f>
        <v>#N/A</v>
      </c>
      <c r="N6" s="21" t="str">
        <f>""</f>
        <v/>
      </c>
      <c r="O6" s="20" t="str">
        <f>""</f>
        <v/>
      </c>
      <c r="P6" s="20" t="e">
        <f>VLOOKUP($A:$A,'Paste PPN Paid &amp; Unpaid Here'!$A:N,14,0)</f>
        <v>#N/A</v>
      </c>
      <c r="Q6" s="20" t="e">
        <f>VLOOKUP($A:$A,'Paste PPN Paid &amp; Unpaid Here'!$A:O,15,0)</f>
        <v>#N/A</v>
      </c>
      <c r="R6" s="20" t="e">
        <f>VLOOKUP($A:$A,'Paste PPN Paid &amp; Unpaid Here'!$A:P,16,0)</f>
        <v>#N/A</v>
      </c>
      <c r="S6" s="20" t="str">
        <f>""</f>
        <v/>
      </c>
      <c r="T6" s="20" t="str">
        <f>""</f>
        <v/>
      </c>
      <c r="U6" s="20" t="str">
        <f>TEXT(IFERROR(VLOOKUP($A:$A,'Paste PPN Paid &amp; Unpaid Here'!$A:S,19,0),""),"#,###0.00;;")</f>
        <v/>
      </c>
      <c r="V6" s="20" t="str">
        <f>TEXT(IFERROR(VLOOKUP($A:$A,'Paste PPN Paid &amp; Unpaid Here'!$A:T,20,0),""),"#,###0.00;;")</f>
        <v/>
      </c>
      <c r="W6" s="20" t="str">
        <f>TEXT(IFERROR(VLOOKUP($A:$A,'Paste PPN Paid &amp; Unpaid Here'!$A:U,21,0),""),"mm/dd/yy;;")</f>
        <v/>
      </c>
      <c r="X6" s="20" t="str">
        <f>TEXT(IFERROR(VLOOKUP($A:$A,'Paste PPN Paid &amp; Unpaid Here'!$A:V,22,0),""),"###;;")</f>
        <v/>
      </c>
      <c r="Y6" s="20" t="str">
        <f>TEXT(IFERROR(VLOOKUP($A:$A,'Paste PPN Paid &amp; Unpaid Here'!$A:W,23,0),""),"$#,###0.00;;")</f>
        <v/>
      </c>
      <c r="Z6" s="20" t="str">
        <f>TEXT(IFERROR(VLOOKUP($A:$A,'Paste PPN Paid &amp; Unpaid Here'!$A:X,24,0),""),"")</f>
        <v/>
      </c>
      <c r="AA6" s="20" t="str">
        <f>TEXT(IFERROR(VLOOKUP($A:$A,'Paste PPN Paid &amp; Unpaid Here'!$A:Y,25,0),""),"mm/dd/yy;;")</f>
        <v/>
      </c>
      <c r="AB6" s="20" t="str">
        <f>TEXT(IFERROR(VLOOKUP($A:$A,'Paste PPN Paid &amp; Unpaid Here'!$A:Z,26,0),""),"mmm-yyyy;;")</f>
        <v/>
      </c>
      <c r="AC6" s="29" t="str">
        <f>"PPN"</f>
        <v>PPN</v>
      </c>
      <c r="AD6" s="20" t="str">
        <f>""</f>
        <v/>
      </c>
      <c r="AE6" s="20" t="str">
        <f>""</f>
        <v/>
      </c>
      <c r="AF6" s="20" t="str">
        <f>TEXT(IFERROR(VLOOKUP($A:$A,'Paste PPN Paid &amp; Unpaid Here'!$A:AD,30,0),""),"###0")</f>
        <v/>
      </c>
      <c r="AG6" s="20" t="str">
        <f>TEXT(IFERROR(VLOOKUP($A:$A,'Paste PPN Paid &amp; Unpaid Here'!$A:AE,31,0),""),"$#,###0.00")</f>
        <v/>
      </c>
      <c r="AH6" s="20" t="str">
        <f>TEXT(IFERROR(VLOOKUP($A:$A,'Paste PPN Paid &amp; Unpaid Here'!$A:AF,32,0),""),"mm/dd/yy;;")</f>
        <v/>
      </c>
      <c r="AI6" s="20" t="str">
        <f>""</f>
        <v/>
      </c>
      <c r="AJ6" s="20" t="str">
        <f>""</f>
        <v/>
      </c>
      <c r="AK6" s="20" t="str">
        <f>TEXT(IFERROR(VLOOKUP($A:$A,'Paste PPN Paid &amp; Unpaid Here'!$A:AI,35,0),""),"")</f>
        <v/>
      </c>
      <c r="AL6" s="20" t="str">
        <f>""</f>
        <v/>
      </c>
      <c r="AM6" s="20" t="str">
        <f>TEXT(IFERROR(VLOOKUP($A:$A,'Paste PPN Paid &amp; Unpaid Here'!$A:AK,37,0),""),"")</f>
        <v/>
      </c>
      <c r="AN6" s="20" t="str">
        <f>TEXT(IFERROR(VLOOKUP($A:$A,'Paste PPN Paid &amp; Unpaid Here'!$A:AL,38,0),""),"###0")</f>
        <v/>
      </c>
      <c r="AO6" s="20" t="str">
        <f ca="1">TEXT(TODAY(),"mm/dd/yy")</f>
        <v>02/11/20</v>
      </c>
      <c r="AP6" s="20" t="str">
        <f>""</f>
        <v/>
      </c>
      <c r="AQ6" s="21" t="str">
        <f>""</f>
        <v/>
      </c>
      <c r="AR6" s="39" t="str">
        <f>""</f>
        <v/>
      </c>
      <c r="AS6" s="40" t="str">
        <f>""</f>
        <v/>
      </c>
      <c r="AT6" s="39" t="str">
        <f>TEXT(IF(ISNA(VLOOKUP($A:$A,'Paste PPN Paid &amp; Unpaid Here'!$A:AR,44,FALSE)),"0",VLOOKUP($A:$A,'Paste PPN Paid &amp; Unpaid Here'!$A:N,14,FALSE)),"###")</f>
        <v/>
      </c>
      <c r="AU6" s="27"/>
    </row>
    <row r="7" spans="1:47" s="34" customFormat="1" x14ac:dyDescent="0.25">
      <c r="A7" s="3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4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3"/>
      <c r="AP7" s="42"/>
      <c r="AQ7" s="42"/>
      <c r="AR7" s="42"/>
      <c r="AS7" s="42"/>
      <c r="AT7" s="42"/>
      <c r="AU7" s="28"/>
    </row>
    <row r="8" spans="1:47" s="5" customFormat="1" ht="50.25" customHeight="1" x14ac:dyDescent="0.25">
      <c r="A8" s="6"/>
      <c r="B8"/>
      <c r="C8" s="13"/>
      <c r="D8"/>
      <c r="E8"/>
      <c r="F8"/>
      <c r="G8"/>
      <c r="H8"/>
      <c r="I8"/>
      <c r="J8"/>
      <c r="K8"/>
      <c r="L8"/>
      <c r="M8"/>
      <c r="N8"/>
      <c r="O8"/>
      <c r="P8"/>
      <c r="Q8"/>
      <c r="R8" t="s">
        <v>341</v>
      </c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25"/>
    </row>
    <row r="9" spans="1:47" s="5" customFormat="1" x14ac:dyDescent="0.25">
      <c r="A9" s="3" t="s">
        <v>1</v>
      </c>
      <c r="B9" s="3" t="s">
        <v>2</v>
      </c>
      <c r="C9" s="3"/>
      <c r="D9" s="3" t="s">
        <v>3</v>
      </c>
      <c r="E9" s="3" t="s">
        <v>4</v>
      </c>
      <c r="F9" s="3"/>
      <c r="G9" s="3" t="s">
        <v>5</v>
      </c>
      <c r="H9" s="3" t="s">
        <v>6</v>
      </c>
      <c r="I9" s="3" t="s">
        <v>7</v>
      </c>
      <c r="J9" s="3" t="s">
        <v>8</v>
      </c>
      <c r="K9" s="3" t="s">
        <v>9</v>
      </c>
      <c r="L9" s="3" t="s">
        <v>10</v>
      </c>
      <c r="M9" s="3" t="s">
        <v>11</v>
      </c>
      <c r="N9" s="3"/>
      <c r="O9" s="3"/>
      <c r="P9" s="37" t="s">
        <v>144</v>
      </c>
      <c r="Q9" s="37" t="s">
        <v>145</v>
      </c>
      <c r="R9" s="37" t="s">
        <v>146</v>
      </c>
      <c r="S9" s="38" t="s">
        <v>147</v>
      </c>
      <c r="T9" s="38" t="s">
        <v>148</v>
      </c>
      <c r="U9" s="37" t="s">
        <v>149</v>
      </c>
      <c r="V9" s="37" t="s">
        <v>150</v>
      </c>
      <c r="W9" s="37" t="s">
        <v>151</v>
      </c>
      <c r="X9" s="38" t="s">
        <v>152</v>
      </c>
      <c r="Y9" s="38" t="s">
        <v>153</v>
      </c>
      <c r="Z9" s="38" t="s">
        <v>154</v>
      </c>
      <c r="AA9" s="41" t="s">
        <v>155</v>
      </c>
      <c r="AB9" s="37" t="s">
        <v>156</v>
      </c>
      <c r="AC9" s="37" t="s">
        <v>157</v>
      </c>
      <c r="AD9" s="38" t="s">
        <v>158</v>
      </c>
      <c r="AE9" s="38" t="s">
        <v>159</v>
      </c>
      <c r="AF9" s="37" t="s">
        <v>160</v>
      </c>
      <c r="AG9" s="37" t="s">
        <v>161</v>
      </c>
      <c r="AH9" s="37" t="s">
        <v>162</v>
      </c>
      <c r="AI9" s="38" t="s">
        <v>163</v>
      </c>
      <c r="AJ9" s="38" t="s">
        <v>164</v>
      </c>
      <c r="AK9" s="37" t="s">
        <v>135</v>
      </c>
      <c r="AL9" s="38" t="s">
        <v>165</v>
      </c>
      <c r="AM9" s="37" t="s">
        <v>136</v>
      </c>
      <c r="AN9" s="37" t="s">
        <v>137</v>
      </c>
      <c r="AO9" s="37" t="s">
        <v>138</v>
      </c>
      <c r="AP9" s="36" t="s">
        <v>139</v>
      </c>
      <c r="AQ9" s="36" t="s">
        <v>140</v>
      </c>
      <c r="AR9" s="37" t="s">
        <v>141</v>
      </c>
      <c r="AS9" s="36" t="s">
        <v>142</v>
      </c>
      <c r="AT9" s="37" t="s">
        <v>143</v>
      </c>
      <c r="AU9" s="25"/>
    </row>
  </sheetData>
  <autoFilter ref="A9:AT9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4"/>
  <sheetViews>
    <sheetView workbookViewId="0">
      <pane ySplit="4" topLeftCell="A5" activePane="bottomLeft" state="frozen"/>
      <selection pane="bottomLeft" activeCell="A5" sqref="A5"/>
    </sheetView>
  </sheetViews>
  <sheetFormatPr defaultColWidth="18.28515625" defaultRowHeight="15" x14ac:dyDescent="0.25"/>
  <cols>
    <col min="1" max="1" width="41.140625" customWidth="1"/>
    <col min="32" max="32" width="23" customWidth="1"/>
  </cols>
  <sheetData>
    <row r="1" spans="1:56" x14ac:dyDescent="0.25">
      <c r="A1" t="s">
        <v>0</v>
      </c>
    </row>
    <row r="2" spans="1:56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 s="30">
        <v>7</v>
      </c>
      <c r="H2">
        <v>8</v>
      </c>
      <c r="I2">
        <v>9</v>
      </c>
      <c r="J2" s="30">
        <v>10</v>
      </c>
      <c r="K2" s="30">
        <v>11</v>
      </c>
      <c r="L2" s="30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 s="30">
        <v>54</v>
      </c>
      <c r="BC2" s="30">
        <v>55</v>
      </c>
      <c r="BD2" s="30">
        <v>56</v>
      </c>
    </row>
    <row r="3" spans="1:56" x14ac:dyDescent="0.25">
      <c r="A3" s="2" t="s">
        <v>131</v>
      </c>
      <c r="P3" s="8" t="s">
        <v>144</v>
      </c>
      <c r="Q3" s="8" t="s">
        <v>145</v>
      </c>
      <c r="R3" s="8" t="s">
        <v>146</v>
      </c>
      <c r="S3" s="9" t="s">
        <v>147</v>
      </c>
      <c r="T3" s="9" t="s">
        <v>148</v>
      </c>
      <c r="U3" s="8" t="s">
        <v>149</v>
      </c>
      <c r="V3" s="8" t="s">
        <v>150</v>
      </c>
      <c r="W3" s="8" t="s">
        <v>151</v>
      </c>
      <c r="X3" s="9" t="s">
        <v>152</v>
      </c>
      <c r="Y3" s="9" t="s">
        <v>153</v>
      </c>
      <c r="Z3" s="9" t="s">
        <v>154</v>
      </c>
      <c r="AA3" s="8" t="s">
        <v>155</v>
      </c>
      <c r="AB3" s="8" t="s">
        <v>156</v>
      </c>
      <c r="AC3" s="8" t="s">
        <v>157</v>
      </c>
      <c r="AD3" s="9" t="s">
        <v>158</v>
      </c>
      <c r="AE3" s="9" t="s">
        <v>159</v>
      </c>
      <c r="AF3" s="8" t="s">
        <v>160</v>
      </c>
      <c r="AG3" s="8" t="s">
        <v>161</v>
      </c>
      <c r="AH3" s="8" t="s">
        <v>162</v>
      </c>
      <c r="AI3" s="9" t="s">
        <v>163</v>
      </c>
      <c r="AJ3" s="9" t="s">
        <v>164</v>
      </c>
      <c r="AK3" s="8" t="s">
        <v>135</v>
      </c>
      <c r="AL3" s="9" t="s">
        <v>165</v>
      </c>
      <c r="AM3" s="8" t="s">
        <v>136</v>
      </c>
      <c r="AN3" s="8" t="s">
        <v>137</v>
      </c>
      <c r="AO3" s="8" t="s">
        <v>138</v>
      </c>
      <c r="AP3" s="7" t="s">
        <v>139</v>
      </c>
      <c r="AQ3" s="7" t="s">
        <v>140</v>
      </c>
      <c r="AR3" s="8" t="s">
        <v>141</v>
      </c>
      <c r="AS3" s="7" t="s">
        <v>142</v>
      </c>
      <c r="AT3" s="8" t="s">
        <v>143</v>
      </c>
    </row>
    <row r="4" spans="1:56" x14ac:dyDescent="0.25">
      <c r="A4" t="s">
        <v>1</v>
      </c>
      <c r="B4" t="s">
        <v>2</v>
      </c>
      <c r="D4" t="s">
        <v>3</v>
      </c>
      <c r="E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13</v>
      </c>
      <c r="P4" s="4" t="s">
        <v>14</v>
      </c>
      <c r="Q4" s="4" t="s">
        <v>15</v>
      </c>
      <c r="R4" s="4" t="s">
        <v>16</v>
      </c>
      <c r="S4" s="5" t="s">
        <v>17</v>
      </c>
      <c r="T4" s="5" t="s">
        <v>18</v>
      </c>
      <c r="U4" s="4" t="s">
        <v>19</v>
      </c>
      <c r="V4" s="4" t="s">
        <v>20</v>
      </c>
      <c r="W4" s="4" t="s">
        <v>21</v>
      </c>
      <c r="X4" s="5" t="s">
        <v>22</v>
      </c>
      <c r="Y4" s="5" t="s">
        <v>23</v>
      </c>
      <c r="Z4" s="5" t="s">
        <v>24</v>
      </c>
      <c r="AA4" s="4" t="s">
        <v>25</v>
      </c>
      <c r="AB4" s="4" t="s">
        <v>26</v>
      </c>
      <c r="AC4" s="4" t="s">
        <v>27</v>
      </c>
      <c r="AD4" s="5" t="s">
        <v>28</v>
      </c>
      <c r="AE4" s="5" t="s">
        <v>29</v>
      </c>
      <c r="AF4" s="4" t="s">
        <v>30</v>
      </c>
      <c r="AG4" s="4" t="s">
        <v>31</v>
      </c>
      <c r="AH4" s="4" t="s">
        <v>32</v>
      </c>
      <c r="AI4" s="5" t="s">
        <v>33</v>
      </c>
      <c r="AJ4" s="5" t="s">
        <v>34</v>
      </c>
      <c r="AK4" s="4" t="s">
        <v>35</v>
      </c>
      <c r="AL4" t="s">
        <v>36</v>
      </c>
      <c r="AM4" s="4" t="s">
        <v>37</v>
      </c>
      <c r="AN4" s="4" t="s">
        <v>38</v>
      </c>
      <c r="AO4" s="4" t="s">
        <v>39</v>
      </c>
      <c r="AP4" t="s">
        <v>40</v>
      </c>
      <c r="AQ4" t="s">
        <v>41</v>
      </c>
      <c r="AR4" s="4" t="s">
        <v>42</v>
      </c>
      <c r="AS4" t="s">
        <v>43</v>
      </c>
      <c r="AT4" s="4" t="s">
        <v>44</v>
      </c>
      <c r="AU4" t="s">
        <v>45</v>
      </c>
      <c r="AV4" t="s">
        <v>46</v>
      </c>
      <c r="AW4" t="s">
        <v>47</v>
      </c>
      <c r="AX4" t="s">
        <v>48</v>
      </c>
      <c r="AY4" t="s">
        <v>49</v>
      </c>
      <c r="AZ4" t="s">
        <v>50</v>
      </c>
      <c r="BA4" t="s">
        <v>51</v>
      </c>
      <c r="BB4" t="s">
        <v>52</v>
      </c>
      <c r="BC4" t="s">
        <v>53</v>
      </c>
      <c r="BD4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8"/>
  <sheetViews>
    <sheetView workbookViewId="0"/>
  </sheetViews>
  <sheetFormatPr defaultRowHeight="15" x14ac:dyDescent="0.25"/>
  <cols>
    <col min="1" max="1" width="21" style="12" customWidth="1"/>
    <col min="2" max="2" width="20.28515625" style="12" customWidth="1"/>
    <col min="3" max="3" width="64.42578125" customWidth="1"/>
    <col min="4" max="4" width="19.140625" bestFit="1" customWidth="1"/>
  </cols>
  <sheetData>
    <row r="1" spans="1:3" x14ac:dyDescent="0.25">
      <c r="A1" s="10" t="s">
        <v>166</v>
      </c>
      <c r="B1" s="11" t="s">
        <v>167</v>
      </c>
      <c r="C1" s="11" t="s">
        <v>2</v>
      </c>
    </row>
    <row r="2" spans="1:3" s="35" customFormat="1" x14ac:dyDescent="0.25">
      <c r="A2" s="12" t="s">
        <v>127</v>
      </c>
      <c r="B2" s="12">
        <v>111240004</v>
      </c>
      <c r="C2" s="12" t="s">
        <v>251</v>
      </c>
    </row>
    <row r="3" spans="1:3" s="35" customFormat="1" x14ac:dyDescent="0.25">
      <c r="A3" s="12" t="s">
        <v>325</v>
      </c>
      <c r="B3" s="12">
        <v>111600003</v>
      </c>
      <c r="C3" s="12" t="s">
        <v>326</v>
      </c>
    </row>
    <row r="4" spans="1:3" s="35" customFormat="1" x14ac:dyDescent="0.25">
      <c r="A4" s="12" t="s">
        <v>327</v>
      </c>
      <c r="B4" s="12">
        <v>111600004</v>
      </c>
      <c r="C4" s="12" t="s">
        <v>328</v>
      </c>
    </row>
    <row r="5" spans="1:3" s="35" customFormat="1" x14ac:dyDescent="0.25">
      <c r="A5" s="12" t="s">
        <v>113</v>
      </c>
      <c r="B5" s="12">
        <v>111610002</v>
      </c>
      <c r="C5" s="12" t="s">
        <v>123</v>
      </c>
    </row>
    <row r="6" spans="1:3" s="35" customFormat="1" x14ac:dyDescent="0.25">
      <c r="A6" s="12" t="s">
        <v>113</v>
      </c>
      <c r="B6" s="12">
        <v>111610005</v>
      </c>
      <c r="C6" s="12" t="s">
        <v>342</v>
      </c>
    </row>
    <row r="7" spans="1:3" s="35" customFormat="1" x14ac:dyDescent="0.25">
      <c r="A7" s="12" t="s">
        <v>243</v>
      </c>
      <c r="B7" s="12">
        <v>111660003</v>
      </c>
      <c r="C7" s="12" t="s">
        <v>244</v>
      </c>
    </row>
    <row r="8" spans="1:3" s="35" customFormat="1" x14ac:dyDescent="0.25">
      <c r="A8" s="12" t="s">
        <v>56</v>
      </c>
      <c r="B8" s="12">
        <v>112050006</v>
      </c>
      <c r="C8" s="12" t="s">
        <v>343</v>
      </c>
    </row>
    <row r="9" spans="1:3" s="35" customFormat="1" x14ac:dyDescent="0.25">
      <c r="A9" s="12" t="s">
        <v>290</v>
      </c>
      <c r="B9" s="12">
        <v>112370004</v>
      </c>
      <c r="C9" s="12" t="s">
        <v>291</v>
      </c>
    </row>
    <row r="10" spans="1:3" s="35" customFormat="1" x14ac:dyDescent="0.25">
      <c r="A10" s="12" t="s">
        <v>121</v>
      </c>
      <c r="B10" s="12">
        <v>113700020</v>
      </c>
      <c r="C10" s="12" t="s">
        <v>289</v>
      </c>
    </row>
    <row r="11" spans="1:3" s="35" customFormat="1" x14ac:dyDescent="0.25">
      <c r="A11" s="12" t="s">
        <v>59</v>
      </c>
      <c r="B11" s="12">
        <v>113700021</v>
      </c>
      <c r="C11" s="12" t="s">
        <v>78</v>
      </c>
    </row>
    <row r="12" spans="1:3" s="35" customFormat="1" x14ac:dyDescent="0.25">
      <c r="A12" s="12" t="s">
        <v>182</v>
      </c>
      <c r="B12" s="12">
        <v>113720051</v>
      </c>
      <c r="C12" s="12" t="s">
        <v>183</v>
      </c>
    </row>
    <row r="13" spans="1:3" s="35" customFormat="1" x14ac:dyDescent="0.25">
      <c r="A13" s="12" t="s">
        <v>252</v>
      </c>
      <c r="B13" s="12">
        <v>114130005</v>
      </c>
      <c r="C13" s="12" t="s">
        <v>253</v>
      </c>
    </row>
    <row r="14" spans="1:3" s="35" customFormat="1" x14ac:dyDescent="0.25">
      <c r="A14" s="12" t="s">
        <v>68</v>
      </c>
      <c r="B14" s="12">
        <v>115250022</v>
      </c>
      <c r="C14" s="12" t="s">
        <v>114</v>
      </c>
    </row>
    <row r="15" spans="1:3" s="35" customFormat="1" x14ac:dyDescent="0.25">
      <c r="A15" s="12" t="s">
        <v>233</v>
      </c>
      <c r="B15" s="12">
        <v>115250023</v>
      </c>
      <c r="C15" s="12" t="s">
        <v>234</v>
      </c>
    </row>
    <row r="16" spans="1:3" s="35" customFormat="1" x14ac:dyDescent="0.25">
      <c r="A16" s="12" t="s">
        <v>235</v>
      </c>
      <c r="B16" s="12">
        <v>115250024</v>
      </c>
      <c r="C16" s="12" t="s">
        <v>236</v>
      </c>
    </row>
    <row r="17" spans="1:3" s="35" customFormat="1" x14ac:dyDescent="0.25">
      <c r="A17" s="12" t="s">
        <v>82</v>
      </c>
      <c r="B17" s="12">
        <v>115250025</v>
      </c>
      <c r="C17" s="12" t="s">
        <v>104</v>
      </c>
    </row>
    <row r="18" spans="1:3" s="35" customFormat="1" x14ac:dyDescent="0.25">
      <c r="A18" s="12" t="s">
        <v>125</v>
      </c>
      <c r="B18" s="12">
        <v>115250026</v>
      </c>
      <c r="C18" s="12" t="s">
        <v>237</v>
      </c>
    </row>
    <row r="19" spans="1:3" s="35" customFormat="1" x14ac:dyDescent="0.25">
      <c r="A19" s="12" t="s">
        <v>97</v>
      </c>
      <c r="B19" s="12">
        <v>115250027</v>
      </c>
      <c r="C19" s="12" t="s">
        <v>118</v>
      </c>
    </row>
    <row r="20" spans="1:3" s="35" customFormat="1" x14ac:dyDescent="0.25">
      <c r="A20" s="12" t="s">
        <v>238</v>
      </c>
      <c r="B20" s="12">
        <v>115250028</v>
      </c>
      <c r="C20" s="12" t="s">
        <v>239</v>
      </c>
    </row>
    <row r="21" spans="1:3" s="35" customFormat="1" x14ac:dyDescent="0.25">
      <c r="A21" s="12" t="s">
        <v>117</v>
      </c>
      <c r="B21" s="12">
        <v>115250029</v>
      </c>
      <c r="C21" s="12" t="s">
        <v>240</v>
      </c>
    </row>
    <row r="22" spans="1:3" s="35" customFormat="1" x14ac:dyDescent="0.25">
      <c r="A22" s="12" t="s">
        <v>86</v>
      </c>
      <c r="B22" s="12">
        <v>115250030</v>
      </c>
      <c r="C22" s="12" t="s">
        <v>92</v>
      </c>
    </row>
    <row r="23" spans="1:3" s="35" customFormat="1" x14ac:dyDescent="0.25">
      <c r="A23" s="12" t="s">
        <v>58</v>
      </c>
      <c r="B23" s="12">
        <v>115540006</v>
      </c>
      <c r="C23" s="12" t="s">
        <v>180</v>
      </c>
    </row>
    <row r="24" spans="1:3" s="35" customFormat="1" x14ac:dyDescent="0.25">
      <c r="A24" s="12" t="s">
        <v>84</v>
      </c>
      <c r="B24" s="12">
        <v>115540007</v>
      </c>
      <c r="C24" s="12" t="s">
        <v>181</v>
      </c>
    </row>
    <row r="25" spans="1:3" s="35" customFormat="1" x14ac:dyDescent="0.25">
      <c r="A25" s="12" t="s">
        <v>85</v>
      </c>
      <c r="B25" s="12">
        <v>115910002</v>
      </c>
      <c r="C25" s="12" t="s">
        <v>229</v>
      </c>
    </row>
    <row r="26" spans="1:3" s="35" customFormat="1" x14ac:dyDescent="0.25">
      <c r="A26" s="12" t="s">
        <v>64</v>
      </c>
      <c r="B26" s="12">
        <v>115910003</v>
      </c>
      <c r="C26" s="12" t="s">
        <v>130</v>
      </c>
    </row>
    <row r="27" spans="1:3" s="35" customFormat="1" x14ac:dyDescent="0.25">
      <c r="A27" s="12" t="s">
        <v>109</v>
      </c>
      <c r="B27" s="12">
        <v>116300008</v>
      </c>
      <c r="C27" s="12" t="s">
        <v>268</v>
      </c>
    </row>
    <row r="28" spans="1:3" s="35" customFormat="1" x14ac:dyDescent="0.25">
      <c r="A28" s="12" t="s">
        <v>79</v>
      </c>
      <c r="B28" s="12">
        <v>116570006</v>
      </c>
      <c r="C28" s="12" t="s">
        <v>177</v>
      </c>
    </row>
    <row r="29" spans="1:3" s="35" customFormat="1" x14ac:dyDescent="0.25">
      <c r="A29" s="12" t="s">
        <v>266</v>
      </c>
      <c r="B29" s="12">
        <v>116830003</v>
      </c>
      <c r="C29" s="12" t="s">
        <v>267</v>
      </c>
    </row>
    <row r="30" spans="1:3" s="35" customFormat="1" x14ac:dyDescent="0.25">
      <c r="A30" s="12" t="s">
        <v>213</v>
      </c>
      <c r="B30" s="12">
        <v>117810008</v>
      </c>
      <c r="C30" s="12" t="s">
        <v>214</v>
      </c>
    </row>
    <row r="31" spans="1:3" s="35" customFormat="1" x14ac:dyDescent="0.25">
      <c r="A31" s="12" t="s">
        <v>124</v>
      </c>
      <c r="B31" s="12">
        <v>117980002</v>
      </c>
      <c r="C31" s="12" t="s">
        <v>278</v>
      </c>
    </row>
    <row r="32" spans="1:3" s="35" customFormat="1" x14ac:dyDescent="0.25">
      <c r="A32" s="12" t="s">
        <v>93</v>
      </c>
      <c r="B32" s="12">
        <v>118990004</v>
      </c>
      <c r="C32" s="12" t="s">
        <v>184</v>
      </c>
    </row>
    <row r="33" spans="1:3" s="35" customFormat="1" x14ac:dyDescent="0.25">
      <c r="A33" s="12" t="s">
        <v>57</v>
      </c>
      <c r="B33" s="12">
        <v>120680015</v>
      </c>
      <c r="C33" s="12" t="s">
        <v>101</v>
      </c>
    </row>
    <row r="34" spans="1:3" s="35" customFormat="1" x14ac:dyDescent="0.25">
      <c r="A34" s="12" t="s">
        <v>264</v>
      </c>
      <c r="B34" s="12">
        <v>120680016</v>
      </c>
      <c r="C34" s="12" t="s">
        <v>265</v>
      </c>
    </row>
    <row r="35" spans="1:3" s="35" customFormat="1" x14ac:dyDescent="0.25">
      <c r="A35" s="12" t="s">
        <v>106</v>
      </c>
      <c r="B35" s="12">
        <v>120680017</v>
      </c>
      <c r="C35" s="12" t="s">
        <v>129</v>
      </c>
    </row>
    <row r="36" spans="1:3" s="35" customFormat="1" x14ac:dyDescent="0.25">
      <c r="A36" s="12" t="s">
        <v>262</v>
      </c>
      <c r="B36" s="12">
        <v>120680018</v>
      </c>
      <c r="C36" s="12" t="s">
        <v>263</v>
      </c>
    </row>
    <row r="37" spans="1:3" s="35" customFormat="1" x14ac:dyDescent="0.25">
      <c r="A37" s="12" t="s">
        <v>65</v>
      </c>
      <c r="B37" s="12">
        <v>120680019</v>
      </c>
      <c r="C37" s="12" t="s">
        <v>75</v>
      </c>
    </row>
    <row r="38" spans="1:3" s="35" customFormat="1" x14ac:dyDescent="0.25">
      <c r="A38" s="12" t="s">
        <v>257</v>
      </c>
      <c r="B38" s="12">
        <v>120680020</v>
      </c>
      <c r="C38" s="12" t="s">
        <v>258</v>
      </c>
    </row>
    <row r="39" spans="1:3" s="35" customFormat="1" x14ac:dyDescent="0.25">
      <c r="A39" s="12" t="s">
        <v>111</v>
      </c>
      <c r="B39" s="12">
        <v>120680021</v>
      </c>
      <c r="C39" s="12" t="s">
        <v>256</v>
      </c>
    </row>
    <row r="40" spans="1:3" s="35" customFormat="1" x14ac:dyDescent="0.25">
      <c r="A40" s="12" t="s">
        <v>254</v>
      </c>
      <c r="B40" s="12">
        <v>120680022</v>
      </c>
      <c r="C40" s="12" t="s">
        <v>255</v>
      </c>
    </row>
    <row r="41" spans="1:3" s="35" customFormat="1" x14ac:dyDescent="0.25">
      <c r="A41" s="12" t="s">
        <v>336</v>
      </c>
      <c r="B41" s="12">
        <v>120680032</v>
      </c>
      <c r="C41" s="12" t="s">
        <v>337</v>
      </c>
    </row>
    <row r="42" spans="1:3" s="35" customFormat="1" x14ac:dyDescent="0.25">
      <c r="A42" s="12" t="s">
        <v>73</v>
      </c>
      <c r="B42" s="12">
        <v>121770032</v>
      </c>
      <c r="C42" s="12" t="s">
        <v>72</v>
      </c>
    </row>
    <row r="43" spans="1:3" s="35" customFormat="1" x14ac:dyDescent="0.25">
      <c r="A43" s="12" t="s">
        <v>128</v>
      </c>
      <c r="B43" s="12">
        <v>121770033</v>
      </c>
      <c r="C43" s="12" t="s">
        <v>185</v>
      </c>
    </row>
    <row r="44" spans="1:3" s="35" customFormat="1" x14ac:dyDescent="0.25">
      <c r="A44" s="12" t="s">
        <v>186</v>
      </c>
      <c r="B44" s="12">
        <v>121770034</v>
      </c>
      <c r="C44" s="12" t="s">
        <v>187</v>
      </c>
    </row>
    <row r="45" spans="1:3" s="35" customFormat="1" x14ac:dyDescent="0.25">
      <c r="A45" s="12" t="s">
        <v>188</v>
      </c>
      <c r="B45" s="12">
        <v>121770035</v>
      </c>
      <c r="C45" s="12" t="s">
        <v>189</v>
      </c>
    </row>
    <row r="46" spans="1:3" s="35" customFormat="1" x14ac:dyDescent="0.25">
      <c r="A46" s="12" t="s">
        <v>107</v>
      </c>
      <c r="B46" s="12">
        <v>122070007</v>
      </c>
      <c r="C46" s="12" t="s">
        <v>270</v>
      </c>
    </row>
    <row r="47" spans="1:3" s="35" customFormat="1" x14ac:dyDescent="0.25">
      <c r="A47" s="12" t="s">
        <v>120</v>
      </c>
      <c r="B47" s="12">
        <v>122780005</v>
      </c>
      <c r="C47" s="12" t="s">
        <v>215</v>
      </c>
    </row>
    <row r="48" spans="1:3" s="35" customFormat="1" x14ac:dyDescent="0.25">
      <c r="A48" s="12" t="s">
        <v>216</v>
      </c>
      <c r="B48" s="12">
        <v>122780006</v>
      </c>
      <c r="C48" s="12" t="s">
        <v>217</v>
      </c>
    </row>
    <row r="49" spans="1:3" s="35" customFormat="1" x14ac:dyDescent="0.25">
      <c r="A49" s="12" t="s">
        <v>87</v>
      </c>
      <c r="B49" s="12">
        <v>122920038</v>
      </c>
      <c r="C49" s="12" t="s">
        <v>190</v>
      </c>
    </row>
    <row r="50" spans="1:3" s="35" customFormat="1" x14ac:dyDescent="0.25">
      <c r="A50" s="12" t="s">
        <v>191</v>
      </c>
      <c r="B50" s="12">
        <v>122920039</v>
      </c>
      <c r="C50" s="12" t="s">
        <v>192</v>
      </c>
    </row>
    <row r="51" spans="1:3" s="35" customFormat="1" x14ac:dyDescent="0.25">
      <c r="A51" s="12" t="s">
        <v>193</v>
      </c>
      <c r="B51" s="12">
        <v>122920040</v>
      </c>
      <c r="C51" s="12" t="s">
        <v>194</v>
      </c>
    </row>
    <row r="52" spans="1:3" s="35" customFormat="1" x14ac:dyDescent="0.25">
      <c r="A52" s="12" t="s">
        <v>100</v>
      </c>
      <c r="B52" s="12">
        <v>123700009</v>
      </c>
      <c r="C52" s="12" t="s">
        <v>119</v>
      </c>
    </row>
    <row r="53" spans="1:3" s="35" customFormat="1" x14ac:dyDescent="0.25">
      <c r="A53" s="12" t="s">
        <v>94</v>
      </c>
      <c r="B53" s="12">
        <v>123700010</v>
      </c>
      <c r="C53" s="12" t="s">
        <v>245</v>
      </c>
    </row>
    <row r="54" spans="1:3" s="35" customFormat="1" x14ac:dyDescent="0.25">
      <c r="A54" s="12" t="s">
        <v>98</v>
      </c>
      <c r="B54" s="12">
        <v>123700011</v>
      </c>
      <c r="C54" s="12" t="s">
        <v>115</v>
      </c>
    </row>
    <row r="55" spans="1:3" s="35" customFormat="1" x14ac:dyDescent="0.25">
      <c r="A55" s="12" t="s">
        <v>279</v>
      </c>
      <c r="B55" s="12">
        <v>124570002</v>
      </c>
      <c r="C55" s="12" t="s">
        <v>280</v>
      </c>
    </row>
    <row r="56" spans="1:3" s="35" customFormat="1" x14ac:dyDescent="0.25">
      <c r="A56" s="12" t="s">
        <v>56</v>
      </c>
      <c r="B56" s="12">
        <v>125220007</v>
      </c>
      <c r="C56" s="12" t="s">
        <v>74</v>
      </c>
    </row>
    <row r="57" spans="1:3" s="35" customFormat="1" x14ac:dyDescent="0.25">
      <c r="A57" s="12" t="s">
        <v>60</v>
      </c>
      <c r="B57" s="12">
        <v>126010009</v>
      </c>
      <c r="C57" s="12" t="s">
        <v>199</v>
      </c>
    </row>
    <row r="58" spans="1:3" s="35" customFormat="1" x14ac:dyDescent="0.25">
      <c r="A58" s="12" t="s">
        <v>200</v>
      </c>
      <c r="B58" s="12">
        <v>126010010</v>
      </c>
      <c r="C58" s="12" t="s">
        <v>201</v>
      </c>
    </row>
    <row r="59" spans="1:3" s="35" customFormat="1" x14ac:dyDescent="0.25">
      <c r="A59" s="12" t="s">
        <v>81</v>
      </c>
      <c r="B59" s="12">
        <v>126010011</v>
      </c>
      <c r="C59" s="12" t="s">
        <v>203</v>
      </c>
    </row>
    <row r="60" spans="1:3" s="35" customFormat="1" x14ac:dyDescent="0.25">
      <c r="A60" s="12" t="s">
        <v>62</v>
      </c>
      <c r="B60" s="12">
        <v>126010012</v>
      </c>
      <c r="C60" s="12" t="s">
        <v>204</v>
      </c>
    </row>
    <row r="61" spans="1:3" s="35" customFormat="1" x14ac:dyDescent="0.25">
      <c r="A61" s="12" t="s">
        <v>205</v>
      </c>
      <c r="B61" s="12">
        <v>126010013</v>
      </c>
      <c r="C61" s="12" t="s">
        <v>206</v>
      </c>
    </row>
    <row r="62" spans="1:3" s="35" customFormat="1" x14ac:dyDescent="0.25">
      <c r="A62" s="12" t="s">
        <v>69</v>
      </c>
      <c r="B62" s="12">
        <v>126010014</v>
      </c>
      <c r="C62" s="12" t="s">
        <v>207</v>
      </c>
    </row>
    <row r="63" spans="1:3" s="35" customFormat="1" x14ac:dyDescent="0.25">
      <c r="A63" s="12" t="s">
        <v>80</v>
      </c>
      <c r="B63" s="12">
        <v>126010015</v>
      </c>
      <c r="C63" s="12" t="s">
        <v>202</v>
      </c>
    </row>
    <row r="64" spans="1:3" s="35" customFormat="1" x14ac:dyDescent="0.25">
      <c r="A64" s="12" t="s">
        <v>103</v>
      </c>
      <c r="B64" s="12">
        <v>126010016</v>
      </c>
      <c r="C64" s="12" t="s">
        <v>208</v>
      </c>
    </row>
    <row r="65" spans="1:3" s="35" customFormat="1" x14ac:dyDescent="0.25">
      <c r="A65" s="12" t="s">
        <v>209</v>
      </c>
      <c r="B65" s="12">
        <v>126010017</v>
      </c>
      <c r="C65" s="12" t="s">
        <v>210</v>
      </c>
    </row>
    <row r="66" spans="1:3" s="35" customFormat="1" x14ac:dyDescent="0.25">
      <c r="A66" s="12" t="s">
        <v>246</v>
      </c>
      <c r="B66" s="12">
        <v>126640009</v>
      </c>
      <c r="C66" s="12" t="s">
        <v>247</v>
      </c>
    </row>
    <row r="67" spans="1:3" s="35" customFormat="1" x14ac:dyDescent="0.25">
      <c r="A67" s="12" t="s">
        <v>99</v>
      </c>
      <c r="B67" s="12">
        <v>126640010</v>
      </c>
      <c r="C67" s="12" t="s">
        <v>133</v>
      </c>
    </row>
    <row r="68" spans="1:3" s="35" customFormat="1" x14ac:dyDescent="0.25">
      <c r="A68" s="12" t="s">
        <v>89</v>
      </c>
      <c r="B68" s="12">
        <v>126640011</v>
      </c>
      <c r="C68" s="12" t="s">
        <v>88</v>
      </c>
    </row>
    <row r="69" spans="1:3" s="35" customFormat="1" x14ac:dyDescent="0.25">
      <c r="A69" s="12" t="s">
        <v>70</v>
      </c>
      <c r="B69" s="12">
        <v>126640012</v>
      </c>
      <c r="C69" s="12" t="s">
        <v>90</v>
      </c>
    </row>
    <row r="70" spans="1:3" s="35" customFormat="1" x14ac:dyDescent="0.25">
      <c r="A70" s="12" t="s">
        <v>126</v>
      </c>
      <c r="B70" s="12">
        <v>126640020</v>
      </c>
      <c r="C70" s="12" t="s">
        <v>248</v>
      </c>
    </row>
    <row r="71" spans="1:3" s="35" customFormat="1" x14ac:dyDescent="0.25">
      <c r="A71" s="12" t="s">
        <v>304</v>
      </c>
      <c r="B71" s="12">
        <v>127380008</v>
      </c>
      <c r="C71" s="12" t="s">
        <v>305</v>
      </c>
    </row>
    <row r="72" spans="1:3" s="35" customFormat="1" x14ac:dyDescent="0.25">
      <c r="A72" s="12" t="s">
        <v>306</v>
      </c>
      <c r="B72" s="12">
        <v>127380009</v>
      </c>
      <c r="C72" s="12" t="s">
        <v>307</v>
      </c>
    </row>
    <row r="73" spans="1:3" s="35" customFormat="1" x14ac:dyDescent="0.25">
      <c r="A73" s="12" t="s">
        <v>308</v>
      </c>
      <c r="B73" s="12">
        <v>127380010</v>
      </c>
      <c r="C73" s="12" t="s">
        <v>309</v>
      </c>
    </row>
    <row r="74" spans="1:3" s="35" customFormat="1" x14ac:dyDescent="0.25">
      <c r="A74" s="12" t="s">
        <v>310</v>
      </c>
      <c r="B74" s="12">
        <v>127380011</v>
      </c>
      <c r="C74" s="12" t="s">
        <v>311</v>
      </c>
    </row>
    <row r="75" spans="1:3" s="35" customFormat="1" x14ac:dyDescent="0.25">
      <c r="A75" s="12" t="s">
        <v>312</v>
      </c>
      <c r="B75" s="12">
        <v>127380012</v>
      </c>
      <c r="C75" s="12" t="s">
        <v>313</v>
      </c>
    </row>
    <row r="76" spans="1:3" s="35" customFormat="1" x14ac:dyDescent="0.25">
      <c r="A76" s="12" t="s">
        <v>195</v>
      </c>
      <c r="B76" s="12">
        <v>129190019</v>
      </c>
      <c r="C76" s="12" t="s">
        <v>196</v>
      </c>
    </row>
    <row r="77" spans="1:3" s="35" customFormat="1" x14ac:dyDescent="0.25">
      <c r="A77" s="12" t="s">
        <v>197</v>
      </c>
      <c r="B77" s="12">
        <v>129190020</v>
      </c>
      <c r="C77" s="12" t="s">
        <v>198</v>
      </c>
    </row>
    <row r="78" spans="1:3" s="35" customFormat="1" x14ac:dyDescent="0.25">
      <c r="A78" s="12" t="s">
        <v>249</v>
      </c>
      <c r="B78" s="12">
        <v>152790003</v>
      </c>
      <c r="C78" s="12" t="s">
        <v>250</v>
      </c>
    </row>
    <row r="79" spans="1:3" s="35" customFormat="1" x14ac:dyDescent="0.25">
      <c r="A79" s="12" t="s">
        <v>66</v>
      </c>
      <c r="B79" s="12">
        <v>172630005</v>
      </c>
      <c r="C79" s="12" t="s">
        <v>277</v>
      </c>
    </row>
    <row r="80" spans="1:3" s="35" customFormat="1" x14ac:dyDescent="0.25">
      <c r="A80" s="12" t="s">
        <v>71</v>
      </c>
      <c r="B80" s="12">
        <v>187120003</v>
      </c>
      <c r="C80" s="12" t="s">
        <v>83</v>
      </c>
    </row>
    <row r="81" spans="1:3" s="35" customFormat="1" x14ac:dyDescent="0.25">
      <c r="A81" s="12" t="s">
        <v>285</v>
      </c>
      <c r="B81" s="12">
        <v>187870002</v>
      </c>
      <c r="C81" s="12" t="s">
        <v>286</v>
      </c>
    </row>
    <row r="82" spans="1:3" s="35" customFormat="1" x14ac:dyDescent="0.25">
      <c r="A82" s="12" t="s">
        <v>287</v>
      </c>
      <c r="B82" s="12">
        <v>187870003</v>
      </c>
      <c r="C82" s="12" t="s">
        <v>288</v>
      </c>
    </row>
    <row r="83" spans="1:3" s="35" customFormat="1" x14ac:dyDescent="0.25">
      <c r="A83" s="12" t="s">
        <v>110</v>
      </c>
      <c r="B83" s="12">
        <v>199310013</v>
      </c>
      <c r="C83" s="12" t="s">
        <v>329</v>
      </c>
    </row>
    <row r="84" spans="1:3" s="35" customFormat="1" x14ac:dyDescent="0.25">
      <c r="A84" s="12" t="s">
        <v>330</v>
      </c>
      <c r="B84" s="12">
        <v>199310014</v>
      </c>
      <c r="C84" s="12" t="s">
        <v>331</v>
      </c>
    </row>
    <row r="85" spans="1:3" s="35" customFormat="1" x14ac:dyDescent="0.25">
      <c r="A85" s="12" t="s">
        <v>259</v>
      </c>
      <c r="B85" s="12">
        <v>200540003</v>
      </c>
      <c r="C85" s="12" t="s">
        <v>260</v>
      </c>
    </row>
    <row r="86" spans="1:3" s="35" customFormat="1" x14ac:dyDescent="0.25">
      <c r="A86" s="12" t="s">
        <v>122</v>
      </c>
      <c r="B86" s="12">
        <v>200540004</v>
      </c>
      <c r="C86" s="12" t="s">
        <v>261</v>
      </c>
    </row>
    <row r="87" spans="1:3" s="35" customFormat="1" x14ac:dyDescent="0.25">
      <c r="A87" s="12" t="s">
        <v>91</v>
      </c>
      <c r="B87" s="12">
        <v>201670003</v>
      </c>
      <c r="C87" s="12" t="s">
        <v>218</v>
      </c>
    </row>
    <row r="88" spans="1:3" s="35" customFormat="1" x14ac:dyDescent="0.25">
      <c r="A88" s="12" t="s">
        <v>172</v>
      </c>
      <c r="B88" s="12">
        <v>201700012</v>
      </c>
      <c r="C88" s="12" t="s">
        <v>173</v>
      </c>
    </row>
    <row r="89" spans="1:3" s="35" customFormat="1" x14ac:dyDescent="0.25">
      <c r="A89" s="12" t="s">
        <v>174</v>
      </c>
      <c r="B89" s="12">
        <v>201700013</v>
      </c>
      <c r="C89" s="12" t="s">
        <v>175</v>
      </c>
    </row>
    <row r="90" spans="1:3" s="35" customFormat="1" x14ac:dyDescent="0.25">
      <c r="A90" s="12" t="s">
        <v>105</v>
      </c>
      <c r="B90" s="12">
        <v>201700014</v>
      </c>
      <c r="C90" s="12" t="s">
        <v>176</v>
      </c>
    </row>
    <row r="91" spans="1:3" s="35" customFormat="1" x14ac:dyDescent="0.25">
      <c r="A91" s="12" t="s">
        <v>96</v>
      </c>
      <c r="B91" s="12">
        <v>201700015</v>
      </c>
      <c r="C91" s="12" t="s">
        <v>303</v>
      </c>
    </row>
    <row r="92" spans="1:3" s="35" customFormat="1" x14ac:dyDescent="0.25">
      <c r="A92" s="12" t="s">
        <v>314</v>
      </c>
      <c r="B92" s="12">
        <v>201730002</v>
      </c>
      <c r="C92" s="12" t="s">
        <v>315</v>
      </c>
    </row>
    <row r="93" spans="1:3" s="35" customFormat="1" x14ac:dyDescent="0.25">
      <c r="A93" s="12" t="s">
        <v>316</v>
      </c>
      <c r="B93" s="12">
        <v>201730003</v>
      </c>
      <c r="C93" s="12" t="s">
        <v>317</v>
      </c>
    </row>
    <row r="94" spans="1:3" s="35" customFormat="1" x14ac:dyDescent="0.25">
      <c r="A94" s="12" t="s">
        <v>108</v>
      </c>
      <c r="B94" s="12">
        <v>201780002</v>
      </c>
      <c r="C94" s="12" t="s">
        <v>324</v>
      </c>
    </row>
    <row r="95" spans="1:3" s="35" customFormat="1" x14ac:dyDescent="0.25">
      <c r="A95" s="12" t="s">
        <v>322</v>
      </c>
      <c r="B95" s="12">
        <v>201780003</v>
      </c>
      <c r="C95" s="12" t="s">
        <v>323</v>
      </c>
    </row>
    <row r="96" spans="1:3" s="35" customFormat="1" x14ac:dyDescent="0.25">
      <c r="A96" s="12" t="s">
        <v>227</v>
      </c>
      <c r="B96" s="12">
        <v>202410043</v>
      </c>
      <c r="C96" s="12" t="s">
        <v>228</v>
      </c>
    </row>
    <row r="97" spans="1:3" s="35" customFormat="1" x14ac:dyDescent="0.25">
      <c r="A97" s="12" t="s">
        <v>63</v>
      </c>
      <c r="B97" s="12">
        <v>203200003</v>
      </c>
      <c r="C97" s="12" t="s">
        <v>134</v>
      </c>
    </row>
    <row r="98" spans="1:3" s="35" customFormat="1" x14ac:dyDescent="0.25">
      <c r="A98" s="12" t="s">
        <v>170</v>
      </c>
      <c r="B98" s="12">
        <v>203200004</v>
      </c>
      <c r="C98" s="12" t="s">
        <v>171</v>
      </c>
    </row>
    <row r="99" spans="1:3" s="35" customFormat="1" x14ac:dyDescent="0.25">
      <c r="A99" s="12" t="s">
        <v>283</v>
      </c>
      <c r="B99" s="12">
        <v>205000002</v>
      </c>
      <c r="C99" s="12" t="s">
        <v>284</v>
      </c>
    </row>
    <row r="100" spans="1:3" s="35" customFormat="1" x14ac:dyDescent="0.25">
      <c r="A100" s="12" t="s">
        <v>281</v>
      </c>
      <c r="B100" s="12">
        <v>205000003</v>
      </c>
      <c r="C100" s="12" t="s">
        <v>282</v>
      </c>
    </row>
    <row r="101" spans="1:3" s="35" customFormat="1" x14ac:dyDescent="0.25">
      <c r="A101" s="12" t="s">
        <v>275</v>
      </c>
      <c r="B101" s="12">
        <v>206860007</v>
      </c>
      <c r="C101" s="12" t="s">
        <v>276</v>
      </c>
    </row>
    <row r="102" spans="1:3" s="35" customFormat="1" x14ac:dyDescent="0.25">
      <c r="A102" s="12" t="s">
        <v>273</v>
      </c>
      <c r="B102" s="12">
        <v>206860008</v>
      </c>
      <c r="C102" s="12" t="s">
        <v>274</v>
      </c>
    </row>
    <row r="103" spans="1:3" s="35" customFormat="1" x14ac:dyDescent="0.25">
      <c r="A103" s="12" t="s">
        <v>271</v>
      </c>
      <c r="B103" s="12">
        <v>206860009</v>
      </c>
      <c r="C103" s="12" t="s">
        <v>272</v>
      </c>
    </row>
    <row r="104" spans="1:3" s="35" customFormat="1" x14ac:dyDescent="0.25">
      <c r="A104" s="12" t="s">
        <v>178</v>
      </c>
      <c r="B104" s="12">
        <v>210410007</v>
      </c>
      <c r="C104" s="12" t="s">
        <v>179</v>
      </c>
    </row>
    <row r="105" spans="1:3" s="35" customFormat="1" x14ac:dyDescent="0.25">
      <c r="A105" s="12" t="s">
        <v>339</v>
      </c>
      <c r="B105" s="12">
        <v>210910006</v>
      </c>
      <c r="C105" s="12" t="s">
        <v>340</v>
      </c>
    </row>
    <row r="106" spans="1:3" s="35" customFormat="1" x14ac:dyDescent="0.25">
      <c r="A106" s="12" t="s">
        <v>339</v>
      </c>
      <c r="B106" s="12">
        <v>210910007</v>
      </c>
      <c r="C106" s="12" t="s">
        <v>340</v>
      </c>
    </row>
    <row r="107" spans="1:3" s="35" customFormat="1" x14ac:dyDescent="0.25">
      <c r="A107" s="12" t="s">
        <v>339</v>
      </c>
      <c r="B107" s="12">
        <v>210910008</v>
      </c>
      <c r="C107" s="12" t="s">
        <v>340</v>
      </c>
    </row>
    <row r="108" spans="1:3" s="35" customFormat="1" x14ac:dyDescent="0.25">
      <c r="A108" s="12" t="s">
        <v>339</v>
      </c>
      <c r="B108" s="12">
        <v>210910009</v>
      </c>
      <c r="C108" s="12" t="s">
        <v>340</v>
      </c>
    </row>
    <row r="109" spans="1:3" s="35" customFormat="1" x14ac:dyDescent="0.25">
      <c r="A109" s="12" t="s">
        <v>168</v>
      </c>
      <c r="B109" s="12">
        <v>211080038</v>
      </c>
      <c r="C109" s="12" t="s">
        <v>169</v>
      </c>
    </row>
    <row r="110" spans="1:3" s="35" customFormat="1" x14ac:dyDescent="0.25">
      <c r="A110" s="12" t="s">
        <v>219</v>
      </c>
      <c r="B110" s="12">
        <v>211530002</v>
      </c>
      <c r="C110" s="12" t="s">
        <v>220</v>
      </c>
    </row>
    <row r="111" spans="1:3" s="35" customFormat="1" x14ac:dyDescent="0.25">
      <c r="A111" s="12" t="s">
        <v>221</v>
      </c>
      <c r="B111" s="12">
        <v>211530003</v>
      </c>
      <c r="C111" s="12" t="s">
        <v>222</v>
      </c>
    </row>
    <row r="112" spans="1:3" s="35" customFormat="1" x14ac:dyDescent="0.25">
      <c r="A112" s="12" t="s">
        <v>223</v>
      </c>
      <c r="B112" s="12">
        <v>211530004</v>
      </c>
      <c r="C112" s="12" t="s">
        <v>224</v>
      </c>
    </row>
    <row r="113" spans="1:3" s="35" customFormat="1" x14ac:dyDescent="0.25">
      <c r="A113" s="12" t="s">
        <v>225</v>
      </c>
      <c r="B113" s="12">
        <v>211530005</v>
      </c>
      <c r="C113" s="12" t="s">
        <v>226</v>
      </c>
    </row>
    <row r="114" spans="1:3" s="35" customFormat="1" x14ac:dyDescent="0.25">
      <c r="A114" s="12" t="s">
        <v>241</v>
      </c>
      <c r="B114" s="12">
        <v>211920003</v>
      </c>
      <c r="C114" s="12" t="s">
        <v>242</v>
      </c>
    </row>
    <row r="115" spans="1:3" s="35" customFormat="1" x14ac:dyDescent="0.25">
      <c r="A115" s="12" t="s">
        <v>292</v>
      </c>
      <c r="B115" s="12">
        <v>211930063</v>
      </c>
      <c r="C115" s="12" t="s">
        <v>293</v>
      </c>
    </row>
    <row r="116" spans="1:3" s="35" customFormat="1" x14ac:dyDescent="0.25">
      <c r="A116" s="12" t="s">
        <v>77</v>
      </c>
      <c r="B116" s="12">
        <v>211930064</v>
      </c>
      <c r="C116" s="12" t="s">
        <v>76</v>
      </c>
    </row>
    <row r="117" spans="1:3" s="35" customFormat="1" x14ac:dyDescent="0.25">
      <c r="A117" s="12" t="s">
        <v>55</v>
      </c>
      <c r="B117" s="12">
        <v>211930065</v>
      </c>
      <c r="C117" s="12" t="s">
        <v>294</v>
      </c>
    </row>
    <row r="118" spans="1:3" s="35" customFormat="1" x14ac:dyDescent="0.25">
      <c r="A118" s="12" t="s">
        <v>67</v>
      </c>
      <c r="B118" s="12">
        <v>211930066</v>
      </c>
      <c r="C118" s="12" t="s">
        <v>344</v>
      </c>
    </row>
    <row r="119" spans="1:3" s="35" customFormat="1" x14ac:dyDescent="0.25">
      <c r="A119" s="12" t="s">
        <v>67</v>
      </c>
      <c r="B119" s="12">
        <v>211930067</v>
      </c>
      <c r="C119" s="12" t="s">
        <v>345</v>
      </c>
    </row>
    <row r="120" spans="1:3" s="35" customFormat="1" x14ac:dyDescent="0.25">
      <c r="A120" s="12" t="s">
        <v>67</v>
      </c>
      <c r="B120" s="12">
        <v>211930068</v>
      </c>
      <c r="C120" s="12" t="s">
        <v>346</v>
      </c>
    </row>
    <row r="121" spans="1:3" s="35" customFormat="1" x14ac:dyDescent="0.25">
      <c r="A121" s="12" t="s">
        <v>67</v>
      </c>
      <c r="B121" s="12">
        <v>211930069</v>
      </c>
      <c r="C121" s="12" t="s">
        <v>338</v>
      </c>
    </row>
    <row r="122" spans="1:3" s="35" customFormat="1" x14ac:dyDescent="0.25">
      <c r="A122" s="12" t="s">
        <v>297</v>
      </c>
      <c r="B122" s="12">
        <v>211930070</v>
      </c>
      <c r="C122" s="12" t="s">
        <v>298</v>
      </c>
    </row>
    <row r="123" spans="1:3" s="35" customFormat="1" x14ac:dyDescent="0.25">
      <c r="A123" s="12" t="s">
        <v>102</v>
      </c>
      <c r="B123" s="12">
        <v>211930071</v>
      </c>
      <c r="C123" s="12" t="s">
        <v>299</v>
      </c>
    </row>
    <row r="124" spans="1:3" s="35" customFormat="1" x14ac:dyDescent="0.25">
      <c r="A124" s="12" t="s">
        <v>333</v>
      </c>
      <c r="B124" s="12">
        <v>211930072</v>
      </c>
      <c r="C124" s="12" t="s">
        <v>302</v>
      </c>
    </row>
    <row r="125" spans="1:3" s="35" customFormat="1" x14ac:dyDescent="0.25">
      <c r="A125" s="12" t="s">
        <v>95</v>
      </c>
      <c r="B125" s="12">
        <v>211930073</v>
      </c>
      <c r="C125" s="12" t="s">
        <v>300</v>
      </c>
    </row>
    <row r="126" spans="1:3" s="35" customFormat="1" x14ac:dyDescent="0.25">
      <c r="A126" s="12" t="s">
        <v>61</v>
      </c>
      <c r="B126" s="12">
        <v>211930074</v>
      </c>
      <c r="C126" s="12" t="s">
        <v>301</v>
      </c>
    </row>
    <row r="127" spans="1:3" s="35" customFormat="1" x14ac:dyDescent="0.25">
      <c r="A127" s="12" t="s">
        <v>295</v>
      </c>
      <c r="B127" s="12">
        <v>211930075</v>
      </c>
      <c r="C127" s="12" t="s">
        <v>296</v>
      </c>
    </row>
    <row r="128" spans="1:3" s="35" customFormat="1" x14ac:dyDescent="0.25">
      <c r="A128" s="12" t="s">
        <v>112</v>
      </c>
      <c r="B128" s="12">
        <v>211930095</v>
      </c>
      <c r="C128" s="12" t="s">
        <v>269</v>
      </c>
    </row>
    <row r="129" spans="1:3" s="35" customFormat="1" x14ac:dyDescent="0.25">
      <c r="A129" s="12" t="s">
        <v>231</v>
      </c>
      <c r="B129" s="12">
        <v>212450003</v>
      </c>
      <c r="C129" s="12" t="s">
        <v>232</v>
      </c>
    </row>
    <row r="130" spans="1:3" s="35" customFormat="1" x14ac:dyDescent="0.25">
      <c r="A130" s="12" t="s">
        <v>116</v>
      </c>
      <c r="B130" s="12">
        <v>212450004</v>
      </c>
      <c r="C130" s="12" t="s">
        <v>230</v>
      </c>
    </row>
    <row r="131" spans="1:3" s="35" customFormat="1" x14ac:dyDescent="0.25">
      <c r="A131" s="12" t="s">
        <v>211</v>
      </c>
      <c r="B131" s="12">
        <v>212850001</v>
      </c>
      <c r="C131" s="12" t="s">
        <v>212</v>
      </c>
    </row>
    <row r="132" spans="1:3" s="35" customFormat="1" x14ac:dyDescent="0.25">
      <c r="A132" s="12" t="s">
        <v>335</v>
      </c>
      <c r="B132" s="12">
        <v>213270001</v>
      </c>
      <c r="C132" s="12" t="s">
        <v>347</v>
      </c>
    </row>
    <row r="133" spans="1:3" s="35" customFormat="1" x14ac:dyDescent="0.25">
      <c r="A133" s="12" t="s">
        <v>318</v>
      </c>
      <c r="B133" s="12">
        <v>727980002</v>
      </c>
      <c r="C133" s="12" t="s">
        <v>319</v>
      </c>
    </row>
    <row r="134" spans="1:3" s="35" customFormat="1" x14ac:dyDescent="0.25">
      <c r="A134" s="12" t="s">
        <v>320</v>
      </c>
      <c r="B134" s="12">
        <v>727980003</v>
      </c>
      <c r="C134" s="12" t="s">
        <v>321</v>
      </c>
    </row>
    <row r="135" spans="1:3" s="35" customFormat="1" x14ac:dyDescent="0.25"/>
    <row r="136" spans="1:3" s="35" customFormat="1" x14ac:dyDescent="0.25"/>
    <row r="137" spans="1:3" s="35" customFormat="1" x14ac:dyDescent="0.25"/>
    <row r="138" spans="1:3" s="35" customFormat="1" x14ac:dyDescent="0.25"/>
    <row r="139" spans="1:3" s="35" customFormat="1" x14ac:dyDescent="0.25"/>
    <row r="140" spans="1:3" s="35" customFormat="1" x14ac:dyDescent="0.25"/>
    <row r="141" spans="1:3" s="35" customFormat="1" x14ac:dyDescent="0.25"/>
    <row r="142" spans="1:3" s="35" customFormat="1" x14ac:dyDescent="0.25"/>
    <row r="143" spans="1:3" s="35" customFormat="1" x14ac:dyDescent="0.25"/>
    <row r="144" spans="1:3" s="35" customFormat="1" x14ac:dyDescent="0.25"/>
    <row r="145" s="35" customFormat="1" x14ac:dyDescent="0.25"/>
    <row r="146" s="35" customFormat="1" x14ac:dyDescent="0.25"/>
    <row r="147" s="35" customFormat="1" x14ac:dyDescent="0.25"/>
    <row r="148" s="35" customFormat="1" x14ac:dyDescent="0.25"/>
    <row r="149" s="35" customFormat="1" x14ac:dyDescent="0.25"/>
    <row r="150" s="35" customFormat="1" x14ac:dyDescent="0.25"/>
    <row r="151" s="35" customFormat="1" x14ac:dyDescent="0.25"/>
    <row r="152" s="35" customFormat="1" x14ac:dyDescent="0.25"/>
    <row r="153" s="35" customFormat="1" x14ac:dyDescent="0.25"/>
    <row r="154" s="35" customFormat="1" x14ac:dyDescent="0.25"/>
    <row r="155" s="35" customFormat="1" x14ac:dyDescent="0.25"/>
    <row r="156" s="35" customFormat="1" x14ac:dyDescent="0.25"/>
    <row r="157" s="35" customFormat="1" x14ac:dyDescent="0.25"/>
    <row r="158" s="35" customFormat="1" x14ac:dyDescent="0.25"/>
    <row r="159" s="35" customFormat="1" x14ac:dyDescent="0.25"/>
    <row r="160" s="35" customFormat="1" x14ac:dyDescent="0.25"/>
    <row r="161" s="35" customFormat="1" x14ac:dyDescent="0.25"/>
    <row r="162" s="35" customFormat="1" x14ac:dyDescent="0.25"/>
    <row r="163" s="35" customFormat="1" x14ac:dyDescent="0.25"/>
    <row r="164" s="35" customFormat="1" x14ac:dyDescent="0.25"/>
    <row r="165" s="35" customFormat="1" x14ac:dyDescent="0.25"/>
    <row r="166" s="35" customFormat="1" x14ac:dyDescent="0.25"/>
    <row r="167" s="35" customFormat="1" x14ac:dyDescent="0.25"/>
    <row r="168" s="35" customFormat="1" x14ac:dyDescent="0.25"/>
    <row r="169" s="35" customFormat="1" x14ac:dyDescent="0.25"/>
    <row r="170" s="35" customFormat="1" x14ac:dyDescent="0.25"/>
    <row r="171" s="35" customFormat="1" x14ac:dyDescent="0.25"/>
    <row r="172" s="35" customFormat="1" x14ac:dyDescent="0.25"/>
    <row r="173" s="35" customFormat="1" x14ac:dyDescent="0.25"/>
    <row r="174" s="35" customFormat="1" x14ac:dyDescent="0.25"/>
    <row r="175" s="35" customFormat="1" x14ac:dyDescent="0.25"/>
    <row r="176" s="35" customFormat="1" x14ac:dyDescent="0.25"/>
    <row r="177" s="35" customFormat="1" x14ac:dyDescent="0.25"/>
    <row r="178" s="35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Paste Live Claim IDs Here</vt:lpstr>
      <vt:lpstr>Paste PPN Paid &amp; Unpaid Here</vt:lpstr>
      <vt:lpstr>PPN Client Crosswalk</vt:lpstr>
      <vt:lpstr>Paste Claim to close in FACS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W7admin</dc:creator>
  <cp:lastModifiedBy>Danny Curtis</cp:lastModifiedBy>
  <dcterms:created xsi:type="dcterms:W3CDTF">2015-08-31T18:32:33Z</dcterms:created>
  <dcterms:modified xsi:type="dcterms:W3CDTF">2020-02-11T17:12:07Z</dcterms:modified>
</cp:coreProperties>
</file>